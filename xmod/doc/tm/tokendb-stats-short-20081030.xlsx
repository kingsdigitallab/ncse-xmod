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docProps/core.xml" ContentType="application/vnd.openxmlformats-package.core-properties+xml"/>
  <Default Extension="xml" ContentType="application/xml"/>
  <Override PartName="/xl/queryTables/queryTable4.xml" ContentType="application/vnd.openxmlformats-officedocument.spreadsheetml.queryTable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rels" ContentType="application/vnd.openxmlformats-package.relationships+xml"/>
  <Override PartName="/xl/worksheets/sheet6.xml" ContentType="application/vnd.openxmlformats-officedocument.spreadsheetml.worksheet+xml"/>
  <Override PartName="/xl/queryTables/queryTable3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6.xml" ContentType="application/vnd.openxmlformats-officedocument.spreadsheetml.queryTable+xml"/>
  <Default Extension="jpeg" ContentType="image/jpeg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xl/queryTables/queryTable5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0" yWindow="0" windowWidth="34400" windowHeight="21620" tabRatio="500"/>
  </bookViews>
  <sheets>
    <sheet name="tokendb-0808-all-min0chars" sheetId="1" r:id="rId1"/>
    <sheet name="tokendb-0808-all-min300chars" sheetId="2" r:id="rId2"/>
    <sheet name="tokendb-0802-all-min0chars" sheetId="3" r:id="rId3"/>
    <sheet name="tokendb-0802-all-min300chars" sheetId="4" r:id="rId4"/>
    <sheet name="diff-0808-0802-min0chars" sheetId="5" r:id="rId5"/>
    <sheet name="diff-0808-0802-min300chars" sheetId="6" r:id="rId6"/>
  </sheets>
  <definedNames>
    <definedName name="_xlnm.Print_Area" localSheetId="2">'tokendb-0802-all-min0chars'!$B$1:$G$31</definedName>
    <definedName name="TOKENDB_0802_STATS_ALL_200810301700" localSheetId="2">'tokendb-0802-all-min0chars'!$B$2:$G$29</definedName>
    <definedName name="TOKENDB_0802_STATS_MIN300CHARS_ALL_200810301659" localSheetId="3">'tokendb-0802-all-min300chars'!$B$2:$G$29</definedName>
    <definedName name="TOKENDB_STATS_ALL_200810301152" localSheetId="4">'diff-0808-0802-min0chars'!$B$2:$G$32</definedName>
    <definedName name="TOKENDB_STATS_ALL_200810301152" localSheetId="5">'diff-0808-0802-min300chars'!$B$2:$G$32</definedName>
    <definedName name="TOKENDB_STATS_ALL_200810301152" localSheetId="0">'tokendb-0808-all-min0chars'!$B$2:$G$32</definedName>
    <definedName name="TOKENDB_STATS_MIN300CHARS_ALL_200810301152" localSheetId="1">'tokendb-0808-all-min300chars'!$B$2:$G$32</definedName>
  </definedNames>
  <calcPr calcId="130405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G4" i="5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4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4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4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4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4"/>
  <c r="G4" i="6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4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4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4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4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4"/>
  <c r="G31" i="3"/>
  <c r="F31"/>
  <c r="E31"/>
  <c r="D31"/>
  <c r="C31"/>
  <c r="G31" i="4"/>
  <c r="F31"/>
  <c r="E31"/>
  <c r="D31"/>
  <c r="C31"/>
  <c r="G34" i="1"/>
  <c r="F34"/>
  <c r="E34"/>
  <c r="D34"/>
  <c r="C34"/>
  <c r="G34" i="2"/>
  <c r="F34"/>
  <c r="E34"/>
  <c r="D34"/>
  <c r="C34"/>
</calcChain>
</file>

<file path=xl/connections.xml><?xml version="1.0" encoding="utf-8"?>
<connections xmlns="http://schemas.openxmlformats.org/spreadsheetml/2006/main">
  <connection id="1" name="Connection1" type="6" refreshedVersion="0">
    <textPr fileType="mac" sourceFile="ELM_HD:projects:cch:ncse:progs:python:logs:TOKENDB-STATS-ALL-200810301152.csv" comma="1" qualifier="singleQuote">
      <textFields count="22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nnection2" type="6" refreshedVersion="0">
    <textPr fileType="mac" sourceFile="ELM_HD:projects:cch:ncse:progs:python:logs:TOKENDB-STATS-MIN300CHARS-ALL-200810301152.csv" comma="1" qualifier="singleQuote">
      <textFields count="22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nnection3" type="6" refreshedVersion="0">
    <textPr fileType="mac" sourceFile="ELM_HD:projects:cch:ncse:progs:python:logs:TOKENDB-0802-STATS-ALL-200810301700.csv" comma="1" qualifier="singleQuote">
      <textFields count="22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nnection4" type="6" refreshedVersion="0">
    <textPr fileType="mac" sourceFile="ELM_HD:projects:cch:ncse:progs:python:logs:TOKENDB-0802-STATS-MIN300CHARS-ALL-200810301659.csv" comma="1" qualifier="singleQuote">
      <textFields count="22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<sst xmlns="http://schemas.openxmlformats.org/spreadsheetml/2006/main" count="252" uniqueCount="49">
  <si>
    <t>diff Aug 2008 - Feb 2008 - min art size 300 chars</t>
    <phoneticPr fontId="1" type="noConversion"/>
  </si>
  <si>
    <t>EWJ</t>
    <phoneticPr fontId="1" type="noConversion"/>
  </si>
  <si>
    <t>PUBL</t>
  </si>
  <si>
    <t>TOTAL</t>
  </si>
  <si>
    <t>ISSUES</t>
  </si>
  <si>
    <t>ARTICLES</t>
  </si>
  <si>
    <t>LINES</t>
  </si>
  <si>
    <t>TOKENS</t>
  </si>
  <si>
    <t>CHARS</t>
  </si>
  <si>
    <t>EWJ</t>
  </si>
  <si>
    <t>LDR</t>
  </si>
  <si>
    <t>MRP</t>
  </si>
  <si>
    <t>NSS</t>
  </si>
  <si>
    <t>TEC</t>
  </si>
  <si>
    <t>TTW</t>
  </si>
  <si>
    <t>FEWJ</t>
  </si>
  <si>
    <t>FLDR</t>
  </si>
  <si>
    <t>CLD</t>
  </si>
  <si>
    <t>EMRP</t>
  </si>
  <si>
    <t>FMRP</t>
  </si>
  <si>
    <t>SMRP</t>
  </si>
  <si>
    <t>SNSS</t>
  </si>
  <si>
    <t>NS2</t>
  </si>
  <si>
    <t>NS3</t>
  </si>
  <si>
    <t>NS4</t>
  </si>
  <si>
    <t>NS5</t>
  </si>
  <si>
    <t>NS6</t>
  </si>
  <si>
    <t>NS7</t>
  </si>
  <si>
    <t>NS8</t>
  </si>
  <si>
    <t>NS9</t>
  </si>
  <si>
    <t>FTEC</t>
  </si>
  <si>
    <t>TTEC</t>
  </si>
  <si>
    <t>ATTW</t>
  </si>
  <si>
    <t>ETTW</t>
  </si>
  <si>
    <t>FTTW</t>
  </si>
  <si>
    <t>SCLD</t>
  </si>
  <si>
    <t>SLDR</t>
  </si>
  <si>
    <t>SXLDR</t>
  </si>
  <si>
    <t>TOTAL</t>
    <phoneticPr fontId="1" type="noConversion"/>
  </si>
  <si>
    <t>TOTAL</t>
    <phoneticPr fontId="1" type="noConversion"/>
  </si>
  <si>
    <t>DIFF</t>
    <phoneticPr fontId="1" type="noConversion"/>
  </si>
  <si>
    <t>DIFF</t>
    <phoneticPr fontId="1" type="noConversion"/>
  </si>
  <si>
    <t>NCSE</t>
  </si>
  <si>
    <t>NCSE</t>
    <phoneticPr fontId="1" type="noConversion"/>
  </si>
  <si>
    <t>version Feb 2008 - no minimum article size</t>
    <phoneticPr fontId="1" type="noConversion"/>
  </si>
  <si>
    <t>version Aug 2008 - no minimum article size</t>
    <phoneticPr fontId="1" type="noConversion"/>
  </si>
  <si>
    <t>version Aug 2008 - minimum article size 300 chars</t>
    <phoneticPr fontId="1" type="noConversion"/>
  </si>
  <si>
    <t>version Feb 2008 - minimum article size 300 chars</t>
    <phoneticPr fontId="1" type="noConversion"/>
  </si>
  <si>
    <t>diff Aug 2008 - Feb 2008 - no minimum article size</t>
    <phoneticPr fontId="1" type="noConversion"/>
  </si>
</sst>
</file>

<file path=xl/styles.xml><?xml version="1.0" encoding="utf-8"?>
<styleSheet xmlns="http://schemas.openxmlformats.org/spreadsheetml/2006/main">
  <fonts count="5">
    <font>
      <sz val="10"/>
      <name val="Verdana"/>
    </font>
    <font>
      <sz val="8"/>
      <name val="Verdana"/>
    </font>
    <font>
      <sz val="12"/>
      <name val="Monaco"/>
    </font>
    <font>
      <b/>
      <sz val="12"/>
      <name val="Monaco"/>
    </font>
    <font>
      <b/>
      <sz val="14"/>
      <name val="Monaco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2" fillId="2" borderId="0" xfId="0" applyFont="1" applyFill="1"/>
    <xf numFmtId="49" fontId="3" fillId="2" borderId="0" xfId="0" applyNumberFormat="1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4" fillId="0" borderId="0" xfId="0" applyFont="1" applyFill="1"/>
    <xf numFmtId="3" fontId="2" fillId="2" borderId="0" xfId="0" applyNumberFormat="1" applyFont="1" applyFill="1"/>
    <xf numFmtId="0" fontId="4" fillId="0" borderId="0" xfId="0" applyFont="1"/>
    <xf numFmtId="0" fontId="4" fillId="0" borderId="0" xfId="0" applyFont="1"/>
    <xf numFmtId="49" fontId="2" fillId="0" borderId="1" xfId="0" applyNumberFormat="1" applyFont="1" applyBorder="1"/>
    <xf numFmtId="3" fontId="2" fillId="0" borderId="2" xfId="0" applyNumberFormat="1" applyFont="1" applyBorder="1"/>
    <xf numFmtId="3" fontId="2" fillId="0" borderId="3" xfId="0" applyNumberFormat="1" applyFont="1" applyBorder="1"/>
    <xf numFmtId="49" fontId="2" fillId="0" borderId="4" xfId="0" applyNumberFormat="1" applyFont="1" applyBorder="1"/>
    <xf numFmtId="3" fontId="2" fillId="0" borderId="5" xfId="0" applyNumberFormat="1" applyFont="1" applyBorder="1"/>
    <xf numFmtId="3" fontId="2" fillId="0" borderId="6" xfId="0" applyNumberFormat="1" applyFont="1" applyBorder="1"/>
    <xf numFmtId="49" fontId="2" fillId="0" borderId="7" xfId="0" applyNumberFormat="1" applyFont="1" applyBorder="1"/>
    <xf numFmtId="3" fontId="2" fillId="0" borderId="8" xfId="0" applyNumberFormat="1" applyFont="1" applyBorder="1"/>
    <xf numFmtId="3" fontId="2" fillId="0" borderId="9" xfId="0" applyNumberFormat="1" applyFon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4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7" Type="http://schemas.openxmlformats.org/officeDocument/2006/relationships/theme" Target="theme/theme1.xml"/><Relationship Id="rId11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" Type="http://schemas.openxmlformats.org/officeDocument/2006/relationships/styles" Target="styles.xml"/><Relationship Id="rId3" Type="http://schemas.openxmlformats.org/officeDocument/2006/relationships/worksheet" Target="worksheets/sheet3.xml"/><Relationship Id="rId6" Type="http://schemas.openxmlformats.org/officeDocument/2006/relationships/worksheet" Target="worksheets/sheet6.xml"/></Relationships>
</file>

<file path=xl/queryTables/queryTable1.xml><?xml version="1.0" encoding="utf-8"?>
<queryTable xmlns="http://schemas.openxmlformats.org/spreadsheetml/2006/main" name="TOKENDB-STATS-ALL-200810301152" connectionId="1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OKENDB-STATS-MIN300CHARS-ALL-200810301152" connectionId="2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OKENDB-0802-STATS-ALL-200810301700" connectionId="3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OKENDB-0802-STATS-MIN300CHARS-ALL-200810301659" connectionId="4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OKENDB-STATS-ALL-200810301152" connectionId="1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TOKENDB-STATS-ALL-200810301152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B1:G34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RowHeight="16"/>
  <cols>
    <col min="1" max="1" width="10.7109375" style="1"/>
    <col min="2" max="2" width="6" style="1" bestFit="1" customWidth="1"/>
    <col min="3" max="3" width="8.7109375" style="1" customWidth="1"/>
    <col min="4" max="4" width="10.85546875" style="1" customWidth="1"/>
    <col min="5" max="5" width="13" style="1" customWidth="1"/>
    <col min="6" max="6" width="15.7109375" style="1" customWidth="1"/>
    <col min="7" max="7" width="15.85546875" style="1" customWidth="1"/>
    <col min="8" max="9" width="9.5703125" style="1" customWidth="1"/>
    <col min="10" max="11" width="8.5703125" style="1" bestFit="1" customWidth="1"/>
    <col min="12" max="12" width="8.28515625" style="1" bestFit="1" customWidth="1"/>
    <col min="13" max="13" width="8.85546875" style="1" customWidth="1"/>
    <col min="14" max="15" width="9.28515625" style="1" bestFit="1" customWidth="1"/>
    <col min="16" max="16" width="10.28515625" style="1" bestFit="1" customWidth="1"/>
    <col min="17" max="17" width="8.7109375" style="1" customWidth="1"/>
    <col min="18" max="19" width="10.28515625" style="1" bestFit="1" customWidth="1"/>
    <col min="20" max="20" width="11.28515625" style="1" bestFit="1" customWidth="1"/>
    <col min="21" max="21" width="8.28515625" style="1" customWidth="1"/>
    <col min="22" max="22" width="8.7109375" style="1" customWidth="1"/>
    <col min="23" max="23" width="9.5703125" style="1" customWidth="1"/>
    <col min="24" max="16384" width="10.7109375" style="1"/>
  </cols>
  <sheetData>
    <row r="1" spans="2:7" ht="18">
      <c r="B1" s="7" t="s">
        <v>43</v>
      </c>
      <c r="C1" s="7" t="s">
        <v>45</v>
      </c>
      <c r="D1" s="7"/>
      <c r="E1" s="7"/>
      <c r="F1" s="7"/>
      <c r="G1" s="7"/>
    </row>
    <row r="2" spans="2:7">
      <c r="B2" s="4" t="s">
        <v>2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</row>
    <row r="3" spans="2:7">
      <c r="B3" s="6"/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2:7">
      <c r="B4" s="11" t="s">
        <v>9</v>
      </c>
      <c r="C4" s="12">
        <v>78</v>
      </c>
      <c r="D4" s="12">
        <v>7964</v>
      </c>
      <c r="E4" s="12">
        <v>233935</v>
      </c>
      <c r="F4" s="12">
        <v>3600621</v>
      </c>
      <c r="G4" s="13">
        <v>17609392</v>
      </c>
    </row>
    <row r="5" spans="2:7">
      <c r="B5" s="14" t="s">
        <v>10</v>
      </c>
      <c r="C5" s="15">
        <v>543</v>
      </c>
      <c r="D5" s="15">
        <v>89521</v>
      </c>
      <c r="E5" s="15">
        <v>3690679</v>
      </c>
      <c r="F5" s="15">
        <v>39229019</v>
      </c>
      <c r="G5" s="16">
        <v>190900101</v>
      </c>
    </row>
    <row r="6" spans="2:7">
      <c r="B6" s="14" t="s">
        <v>11</v>
      </c>
      <c r="C6" s="15">
        <v>409</v>
      </c>
      <c r="D6" s="15">
        <v>48653</v>
      </c>
      <c r="E6" s="15">
        <v>2377183</v>
      </c>
      <c r="F6" s="15">
        <v>20700979</v>
      </c>
      <c r="G6" s="16">
        <v>98728458</v>
      </c>
    </row>
    <row r="7" spans="2:7">
      <c r="B7" s="14" t="s">
        <v>12</v>
      </c>
      <c r="C7" s="15">
        <v>780</v>
      </c>
      <c r="D7" s="15">
        <v>81794</v>
      </c>
      <c r="E7" s="15">
        <v>7243191</v>
      </c>
      <c r="F7" s="15">
        <v>73736454</v>
      </c>
      <c r="G7" s="16">
        <v>351172086</v>
      </c>
    </row>
    <row r="8" spans="2:7">
      <c r="B8" s="14" t="s">
        <v>13</v>
      </c>
      <c r="C8" s="15">
        <v>264</v>
      </c>
      <c r="D8" s="15">
        <v>55724</v>
      </c>
      <c r="E8" s="15">
        <v>1317815</v>
      </c>
      <c r="F8" s="15">
        <v>27731515</v>
      </c>
      <c r="G8" s="16">
        <v>100630978</v>
      </c>
    </row>
    <row r="9" spans="2:7">
      <c r="B9" s="14" t="s">
        <v>14</v>
      </c>
      <c r="C9" s="15">
        <v>174</v>
      </c>
      <c r="D9" s="15">
        <v>12647</v>
      </c>
      <c r="E9" s="15">
        <v>134071</v>
      </c>
      <c r="F9" s="15">
        <v>2540402</v>
      </c>
      <c r="G9" s="16">
        <v>10752484</v>
      </c>
    </row>
    <row r="10" spans="2:7">
      <c r="B10" s="14" t="s">
        <v>15</v>
      </c>
      <c r="C10" s="15">
        <v>13</v>
      </c>
      <c r="D10" s="15">
        <v>97</v>
      </c>
      <c r="E10" s="15">
        <v>1231</v>
      </c>
      <c r="F10" s="15">
        <v>13712</v>
      </c>
      <c r="G10" s="16">
        <v>51684</v>
      </c>
    </row>
    <row r="11" spans="2:7">
      <c r="B11" s="14" t="s">
        <v>16</v>
      </c>
      <c r="C11" s="15">
        <v>2</v>
      </c>
      <c r="D11" s="15">
        <v>26</v>
      </c>
      <c r="E11" s="15">
        <v>4880</v>
      </c>
      <c r="F11" s="15">
        <v>37019</v>
      </c>
      <c r="G11" s="16">
        <v>161944</v>
      </c>
    </row>
    <row r="12" spans="2:7">
      <c r="B12" s="14" t="s">
        <v>17</v>
      </c>
      <c r="C12" s="15">
        <v>461</v>
      </c>
      <c r="D12" s="15">
        <v>72505</v>
      </c>
      <c r="E12" s="15">
        <v>3091440</v>
      </c>
      <c r="F12" s="15">
        <v>32806848</v>
      </c>
      <c r="G12" s="16">
        <v>159769273</v>
      </c>
    </row>
    <row r="13" spans="2:7">
      <c r="B13" s="14" t="s">
        <v>18</v>
      </c>
      <c r="C13" s="15">
        <v>27</v>
      </c>
      <c r="D13" s="15">
        <v>1511</v>
      </c>
      <c r="E13" s="15">
        <v>56074</v>
      </c>
      <c r="F13" s="15">
        <v>411133</v>
      </c>
      <c r="G13" s="16">
        <v>1566272</v>
      </c>
    </row>
    <row r="14" spans="2:7">
      <c r="B14" s="14" t="s">
        <v>19</v>
      </c>
      <c r="C14" s="15">
        <v>31</v>
      </c>
      <c r="D14" s="15">
        <v>293</v>
      </c>
      <c r="E14" s="15">
        <v>3437</v>
      </c>
      <c r="F14" s="15">
        <v>26270</v>
      </c>
      <c r="G14" s="16">
        <v>108771</v>
      </c>
    </row>
    <row r="15" spans="2:7">
      <c r="B15" s="14" t="s">
        <v>20</v>
      </c>
      <c r="C15" s="15">
        <v>24</v>
      </c>
      <c r="D15" s="15">
        <v>838</v>
      </c>
      <c r="E15" s="15">
        <v>32656</v>
      </c>
      <c r="F15" s="15">
        <v>319813</v>
      </c>
      <c r="G15" s="16">
        <v>1442746</v>
      </c>
    </row>
    <row r="16" spans="2:7">
      <c r="B16" s="14" t="s">
        <v>21</v>
      </c>
      <c r="C16" s="15">
        <v>1</v>
      </c>
      <c r="D16" s="15">
        <v>9</v>
      </c>
      <c r="E16" s="15">
        <v>2304</v>
      </c>
      <c r="F16" s="15">
        <v>24354</v>
      </c>
      <c r="G16" s="16">
        <v>108048</v>
      </c>
    </row>
    <row r="17" spans="2:7">
      <c r="B17" s="14" t="s">
        <v>22</v>
      </c>
      <c r="C17" s="15">
        <v>596</v>
      </c>
      <c r="D17" s="15">
        <v>63713</v>
      </c>
      <c r="E17" s="15">
        <v>5435459</v>
      </c>
      <c r="F17" s="15">
        <v>54748270</v>
      </c>
      <c r="G17" s="16">
        <v>264645902</v>
      </c>
    </row>
    <row r="18" spans="2:7">
      <c r="B18" s="14" t="s">
        <v>23</v>
      </c>
      <c r="C18" s="15">
        <v>483</v>
      </c>
      <c r="D18" s="15">
        <v>51470</v>
      </c>
      <c r="E18" s="15">
        <v>4579657</v>
      </c>
      <c r="F18" s="15">
        <v>45877158</v>
      </c>
      <c r="G18" s="16">
        <v>221637906</v>
      </c>
    </row>
    <row r="19" spans="2:7">
      <c r="B19" s="14" t="s">
        <v>24</v>
      </c>
      <c r="C19" s="15">
        <v>207</v>
      </c>
      <c r="D19" s="15">
        <v>20488</v>
      </c>
      <c r="E19" s="15">
        <v>1913165</v>
      </c>
      <c r="F19" s="15">
        <v>19433730</v>
      </c>
      <c r="G19" s="16">
        <v>93347247</v>
      </c>
    </row>
    <row r="20" spans="2:7">
      <c r="B20" s="14" t="s">
        <v>25</v>
      </c>
      <c r="C20" s="15">
        <v>126</v>
      </c>
      <c r="D20" s="15">
        <v>12455</v>
      </c>
      <c r="E20" s="15">
        <v>1163047</v>
      </c>
      <c r="F20" s="15">
        <v>11872271</v>
      </c>
      <c r="G20" s="16">
        <v>56442942</v>
      </c>
    </row>
    <row r="21" spans="2:7">
      <c r="B21" s="14" t="s">
        <v>26</v>
      </c>
      <c r="C21" s="15">
        <v>11</v>
      </c>
      <c r="D21" s="15">
        <v>1139</v>
      </c>
      <c r="E21" s="15">
        <v>103355</v>
      </c>
      <c r="F21" s="15">
        <v>1067779</v>
      </c>
      <c r="G21" s="16">
        <v>5052846</v>
      </c>
    </row>
    <row r="22" spans="2:7">
      <c r="B22" s="14" t="s">
        <v>27</v>
      </c>
      <c r="C22" s="15">
        <v>7</v>
      </c>
      <c r="D22" s="15">
        <v>643</v>
      </c>
      <c r="E22" s="15">
        <v>65545</v>
      </c>
      <c r="F22" s="15">
        <v>670851</v>
      </c>
      <c r="G22" s="16">
        <v>3179440</v>
      </c>
    </row>
    <row r="23" spans="2:7">
      <c r="B23" s="14" t="s">
        <v>28</v>
      </c>
      <c r="C23" s="15">
        <v>3</v>
      </c>
      <c r="D23" s="15">
        <v>268</v>
      </c>
      <c r="E23" s="15">
        <v>29696</v>
      </c>
      <c r="F23" s="15">
        <v>295640</v>
      </c>
      <c r="G23" s="16">
        <v>1436253</v>
      </c>
    </row>
    <row r="24" spans="2:7">
      <c r="B24" s="14" t="s">
        <v>29</v>
      </c>
      <c r="C24" s="15">
        <v>1</v>
      </c>
      <c r="D24" s="15">
        <v>71</v>
      </c>
      <c r="E24" s="15">
        <v>10045</v>
      </c>
      <c r="F24" s="15">
        <v>101051</v>
      </c>
      <c r="G24" s="16">
        <v>487444</v>
      </c>
    </row>
    <row r="25" spans="2:7">
      <c r="B25" s="14" t="s">
        <v>30</v>
      </c>
      <c r="C25" s="15">
        <v>10</v>
      </c>
      <c r="D25" s="15">
        <v>27</v>
      </c>
      <c r="E25" s="15">
        <v>427</v>
      </c>
      <c r="F25" s="15">
        <v>3181</v>
      </c>
      <c r="G25" s="16">
        <v>11046</v>
      </c>
    </row>
    <row r="26" spans="2:7">
      <c r="B26" s="14" t="s">
        <v>31</v>
      </c>
      <c r="C26" s="15">
        <v>11</v>
      </c>
      <c r="D26" s="15">
        <v>988</v>
      </c>
      <c r="E26" s="15">
        <v>100661</v>
      </c>
      <c r="F26" s="15">
        <v>5026111</v>
      </c>
      <c r="G26" s="16">
        <v>14608690</v>
      </c>
    </row>
    <row r="27" spans="2:7">
      <c r="B27" s="14" t="s">
        <v>32</v>
      </c>
      <c r="C27" s="15">
        <v>2</v>
      </c>
      <c r="D27" s="15">
        <v>100</v>
      </c>
      <c r="E27" s="15">
        <v>1068</v>
      </c>
      <c r="F27" s="15">
        <v>18744</v>
      </c>
      <c r="G27" s="16">
        <v>80962</v>
      </c>
    </row>
    <row r="28" spans="2:7">
      <c r="B28" s="14" t="s">
        <v>33</v>
      </c>
      <c r="C28" s="15">
        <v>6</v>
      </c>
      <c r="D28" s="15">
        <v>27</v>
      </c>
      <c r="E28" s="15">
        <v>1733</v>
      </c>
      <c r="F28" s="15">
        <v>21282</v>
      </c>
      <c r="G28" s="16">
        <v>80725</v>
      </c>
    </row>
    <row r="29" spans="2:7">
      <c r="B29" s="14" t="s">
        <v>34</v>
      </c>
      <c r="C29" s="15">
        <v>6</v>
      </c>
      <c r="D29" s="15">
        <v>51</v>
      </c>
      <c r="E29" s="15">
        <v>335</v>
      </c>
      <c r="F29" s="15">
        <v>6583</v>
      </c>
      <c r="G29" s="16">
        <v>23892</v>
      </c>
    </row>
    <row r="30" spans="2:7">
      <c r="B30" s="14" t="s">
        <v>35</v>
      </c>
      <c r="C30" s="15">
        <v>2</v>
      </c>
      <c r="D30" s="15">
        <v>55</v>
      </c>
      <c r="E30" s="15">
        <v>5033</v>
      </c>
      <c r="F30" s="15">
        <v>59107</v>
      </c>
      <c r="G30" s="16">
        <v>259613</v>
      </c>
    </row>
    <row r="31" spans="2:7">
      <c r="B31" s="14" t="s">
        <v>36</v>
      </c>
      <c r="C31" s="15">
        <v>4</v>
      </c>
      <c r="D31" s="15">
        <v>434</v>
      </c>
      <c r="E31" s="15">
        <v>17746</v>
      </c>
      <c r="F31" s="15">
        <v>189840</v>
      </c>
      <c r="G31" s="16">
        <v>854624</v>
      </c>
    </row>
    <row r="32" spans="2:7">
      <c r="B32" s="17" t="s">
        <v>37</v>
      </c>
      <c r="C32" s="18">
        <v>1</v>
      </c>
      <c r="D32" s="18">
        <v>14</v>
      </c>
      <c r="E32" s="18">
        <v>648</v>
      </c>
      <c r="F32" s="18">
        <v>8210</v>
      </c>
      <c r="G32" s="19">
        <v>40930</v>
      </c>
    </row>
    <row r="34" spans="2:7">
      <c r="B34" s="3" t="s">
        <v>39</v>
      </c>
      <c r="C34" s="8">
        <f>SUM(C4:C32)</f>
        <v>4283</v>
      </c>
      <c r="D34" s="8">
        <f t="shared" ref="D34:G34" si="0">SUM(D4:D32)</f>
        <v>523525</v>
      </c>
      <c r="E34" s="8">
        <f t="shared" si="0"/>
        <v>31616516</v>
      </c>
      <c r="F34" s="8">
        <f t="shared" si="0"/>
        <v>340577947</v>
      </c>
      <c r="G34" s="8">
        <f t="shared" si="0"/>
        <v>1595192699</v>
      </c>
    </row>
  </sheetData>
  <sheetCalcPr fullCalcOnLoad="1"/>
  <phoneticPr fontId="1" type="noConversion"/>
  <pageMargins left="0.35629921259842523" right="0.35629921259842523" top="0.40944881889763785" bottom="0.40944881889763785" header="0" footer="0"/>
  <pageSetup paperSize="0" scale="95" orientation="portrait" horizontalDpi="4294967292" verticalDpi="4294967292"/>
  <colBreaks count="1" manualBreakCount="1">
    <brk id="7" max="1048575" man="1" pt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B1:G34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RowHeight="16"/>
  <cols>
    <col min="1" max="1" width="10.7109375" style="1"/>
    <col min="2" max="2" width="6" style="1" bestFit="1" customWidth="1"/>
    <col min="3" max="3" width="8.7109375" style="1" customWidth="1"/>
    <col min="4" max="4" width="11.7109375" style="1" customWidth="1"/>
    <col min="5" max="5" width="13.140625" style="1" customWidth="1"/>
    <col min="6" max="6" width="13.85546875" style="1" customWidth="1"/>
    <col min="7" max="7" width="16.140625" style="1" customWidth="1"/>
    <col min="8" max="11" width="8.5703125" style="1" bestFit="1" customWidth="1"/>
    <col min="12" max="12" width="8.28515625" style="1" bestFit="1" customWidth="1"/>
    <col min="13" max="13" width="7.28515625" style="1" bestFit="1" customWidth="1"/>
    <col min="14" max="16" width="10.28515625" style="1" bestFit="1" customWidth="1"/>
    <col min="17" max="17" width="8.28515625" style="1" bestFit="1" customWidth="1"/>
    <col min="18" max="18" width="11.28515625" style="1" bestFit="1" customWidth="1"/>
    <col min="19" max="19" width="12.28515625" style="1" bestFit="1" customWidth="1"/>
    <col min="20" max="20" width="11.28515625" style="1" bestFit="1" customWidth="1"/>
    <col min="21" max="21" width="9.28515625" style="1" bestFit="1" customWidth="1"/>
    <col min="22" max="23" width="12.28515625" style="1" bestFit="1" customWidth="1"/>
    <col min="24" max="16384" width="10.7109375" style="1"/>
  </cols>
  <sheetData>
    <row r="1" spans="2:7" ht="18">
      <c r="B1" s="9" t="s">
        <v>42</v>
      </c>
      <c r="C1" s="10" t="s">
        <v>46</v>
      </c>
      <c r="D1" s="10"/>
      <c r="E1" s="10"/>
      <c r="F1" s="10"/>
      <c r="G1" s="10"/>
    </row>
    <row r="2" spans="2:7">
      <c r="B2" s="4" t="s">
        <v>2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</row>
    <row r="3" spans="2:7">
      <c r="B3" s="6"/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2:7">
      <c r="B4" s="11" t="s">
        <v>1</v>
      </c>
      <c r="C4" s="12">
        <v>78</v>
      </c>
      <c r="D4" s="12">
        <v>1359</v>
      </c>
      <c r="E4" s="12">
        <v>225973</v>
      </c>
      <c r="F4" s="12">
        <v>3554376</v>
      </c>
      <c r="G4" s="13">
        <v>17396077</v>
      </c>
    </row>
    <row r="5" spans="2:7">
      <c r="B5" s="14" t="s">
        <v>10</v>
      </c>
      <c r="C5" s="15">
        <v>543</v>
      </c>
      <c r="D5" s="15">
        <v>57087</v>
      </c>
      <c r="E5" s="15">
        <v>3609045</v>
      </c>
      <c r="F5" s="15">
        <v>38422043</v>
      </c>
      <c r="G5" s="16">
        <v>187852977</v>
      </c>
    </row>
    <row r="6" spans="2:7">
      <c r="B6" s="14" t="s">
        <v>11</v>
      </c>
      <c r="C6" s="15">
        <v>409</v>
      </c>
      <c r="D6" s="15">
        <v>13609</v>
      </c>
      <c r="E6" s="15">
        <v>2331770</v>
      </c>
      <c r="F6" s="15">
        <v>20326616</v>
      </c>
      <c r="G6" s="16">
        <v>97227834</v>
      </c>
    </row>
    <row r="7" spans="2:7">
      <c r="B7" s="14" t="s">
        <v>12</v>
      </c>
      <c r="C7" s="15">
        <v>780</v>
      </c>
      <c r="D7" s="15">
        <v>56254</v>
      </c>
      <c r="E7" s="15">
        <v>7188224</v>
      </c>
      <c r="F7" s="15">
        <v>73243857</v>
      </c>
      <c r="G7" s="16">
        <v>349420514</v>
      </c>
    </row>
    <row r="8" spans="2:7">
      <c r="B8" s="14" t="s">
        <v>13</v>
      </c>
      <c r="C8" s="15">
        <v>264</v>
      </c>
      <c r="D8" s="15">
        <v>25293</v>
      </c>
      <c r="E8" s="15">
        <v>1231508</v>
      </c>
      <c r="F8" s="15">
        <v>26700282</v>
      </c>
      <c r="G8" s="16">
        <v>97120903</v>
      </c>
    </row>
    <row r="9" spans="2:7">
      <c r="B9" s="14" t="s">
        <v>14</v>
      </c>
      <c r="C9" s="15">
        <v>174</v>
      </c>
      <c r="D9" s="15">
        <v>5201</v>
      </c>
      <c r="E9" s="15">
        <v>120112</v>
      </c>
      <c r="F9" s="15">
        <v>2411361</v>
      </c>
      <c r="G9" s="16">
        <v>10242476</v>
      </c>
    </row>
    <row r="10" spans="2:7">
      <c r="B10" s="14" t="s">
        <v>15</v>
      </c>
      <c r="C10" s="15">
        <v>13</v>
      </c>
      <c r="D10" s="15">
        <v>27</v>
      </c>
      <c r="E10" s="15">
        <v>941</v>
      </c>
      <c r="F10" s="15">
        <v>12008</v>
      </c>
      <c r="G10" s="16">
        <v>45485</v>
      </c>
    </row>
    <row r="11" spans="2:7">
      <c r="B11" s="14" t="s">
        <v>16</v>
      </c>
      <c r="C11" s="15">
        <v>2</v>
      </c>
      <c r="D11" s="15">
        <v>11</v>
      </c>
      <c r="E11" s="15">
        <v>4844</v>
      </c>
      <c r="F11" s="15">
        <v>36748</v>
      </c>
      <c r="G11" s="16">
        <v>161209</v>
      </c>
    </row>
    <row r="12" spans="2:7">
      <c r="B12" s="14" t="s">
        <v>17</v>
      </c>
      <c r="C12" s="15">
        <v>461</v>
      </c>
      <c r="D12" s="15">
        <v>46827</v>
      </c>
      <c r="E12" s="15">
        <v>3026790</v>
      </c>
      <c r="F12" s="15">
        <v>32155473</v>
      </c>
      <c r="G12" s="16">
        <v>157342024</v>
      </c>
    </row>
    <row r="13" spans="2:7">
      <c r="B13" s="14" t="s">
        <v>18</v>
      </c>
      <c r="C13" s="15">
        <v>27</v>
      </c>
      <c r="D13" s="15">
        <v>671</v>
      </c>
      <c r="E13" s="15">
        <v>53701</v>
      </c>
      <c r="F13" s="15">
        <v>396844</v>
      </c>
      <c r="G13" s="16">
        <v>1521681</v>
      </c>
    </row>
    <row r="14" spans="2:7">
      <c r="B14" s="14" t="s">
        <v>19</v>
      </c>
      <c r="C14" s="15">
        <v>31</v>
      </c>
      <c r="D14" s="15">
        <v>47</v>
      </c>
      <c r="E14" s="15">
        <v>2649</v>
      </c>
      <c r="F14" s="15">
        <v>22273</v>
      </c>
      <c r="G14" s="16">
        <v>94726</v>
      </c>
    </row>
    <row r="15" spans="2:7">
      <c r="B15" s="14" t="s">
        <v>20</v>
      </c>
      <c r="C15" s="15">
        <v>24</v>
      </c>
      <c r="D15" s="15">
        <v>195</v>
      </c>
      <c r="E15" s="15">
        <v>31592</v>
      </c>
      <c r="F15" s="15">
        <v>314346</v>
      </c>
      <c r="G15" s="16">
        <v>1422256</v>
      </c>
    </row>
    <row r="16" spans="2:7">
      <c r="B16" s="14" t="s">
        <v>21</v>
      </c>
      <c r="C16" s="15">
        <v>1</v>
      </c>
      <c r="D16" s="15">
        <v>5</v>
      </c>
      <c r="E16" s="15">
        <v>2293</v>
      </c>
      <c r="F16" s="15">
        <v>24213</v>
      </c>
      <c r="G16" s="16">
        <v>107674</v>
      </c>
    </row>
    <row r="17" spans="2:7">
      <c r="B17" s="14" t="s">
        <v>22</v>
      </c>
      <c r="C17" s="15">
        <v>596</v>
      </c>
      <c r="D17" s="15">
        <v>41813</v>
      </c>
      <c r="E17" s="15">
        <v>5388285</v>
      </c>
      <c r="F17" s="15">
        <v>54337379</v>
      </c>
      <c r="G17" s="16">
        <v>263168738</v>
      </c>
    </row>
    <row r="18" spans="2:7">
      <c r="B18" s="14" t="s">
        <v>23</v>
      </c>
      <c r="C18" s="15">
        <v>483</v>
      </c>
      <c r="D18" s="15">
        <v>34114</v>
      </c>
      <c r="E18" s="15">
        <v>4541614</v>
      </c>
      <c r="F18" s="15">
        <v>45542863</v>
      </c>
      <c r="G18" s="16">
        <v>220437824</v>
      </c>
    </row>
    <row r="19" spans="2:7">
      <c r="B19" s="14" t="s">
        <v>24</v>
      </c>
      <c r="C19" s="15">
        <v>207</v>
      </c>
      <c r="D19" s="15">
        <v>13806</v>
      </c>
      <c r="E19" s="15">
        <v>1899595</v>
      </c>
      <c r="F19" s="15">
        <v>19312064</v>
      </c>
      <c r="G19" s="16">
        <v>92915100</v>
      </c>
    </row>
    <row r="20" spans="2:7">
      <c r="B20" s="14" t="s">
        <v>25</v>
      </c>
      <c r="C20" s="15">
        <v>126</v>
      </c>
      <c r="D20" s="15">
        <v>8282</v>
      </c>
      <c r="E20" s="15">
        <v>1155393</v>
      </c>
      <c r="F20" s="15">
        <v>11804937</v>
      </c>
      <c r="G20" s="16">
        <v>56197481</v>
      </c>
    </row>
    <row r="21" spans="2:7">
      <c r="B21" s="14" t="s">
        <v>26</v>
      </c>
      <c r="C21" s="15">
        <v>11</v>
      </c>
      <c r="D21" s="15">
        <v>821</v>
      </c>
      <c r="E21" s="15">
        <v>102707</v>
      </c>
      <c r="F21" s="15">
        <v>1062454</v>
      </c>
      <c r="G21" s="16">
        <v>5032707</v>
      </c>
    </row>
    <row r="22" spans="2:7">
      <c r="B22" s="14" t="s">
        <v>27</v>
      </c>
      <c r="C22" s="15">
        <v>7</v>
      </c>
      <c r="D22" s="15">
        <v>427</v>
      </c>
      <c r="E22" s="15">
        <v>65152</v>
      </c>
      <c r="F22" s="15">
        <v>667739</v>
      </c>
      <c r="G22" s="16">
        <v>3167760</v>
      </c>
    </row>
    <row r="23" spans="2:7">
      <c r="B23" s="14" t="s">
        <v>28</v>
      </c>
      <c r="C23" s="15">
        <v>3</v>
      </c>
      <c r="D23" s="15">
        <v>185</v>
      </c>
      <c r="E23" s="15">
        <v>29569</v>
      </c>
      <c r="F23" s="15">
        <v>294661</v>
      </c>
      <c r="G23" s="16">
        <v>1432547</v>
      </c>
    </row>
    <row r="24" spans="2:7">
      <c r="B24" s="14" t="s">
        <v>29</v>
      </c>
      <c r="C24" s="15">
        <v>1</v>
      </c>
      <c r="D24" s="15">
        <v>46</v>
      </c>
      <c r="E24" s="15">
        <v>10004</v>
      </c>
      <c r="F24" s="15">
        <v>100750</v>
      </c>
      <c r="G24" s="16">
        <v>486195</v>
      </c>
    </row>
    <row r="25" spans="2:7">
      <c r="B25" s="14" t="s">
        <v>30</v>
      </c>
      <c r="C25" s="15">
        <v>10</v>
      </c>
      <c r="D25" s="15">
        <v>12</v>
      </c>
      <c r="E25" s="15">
        <v>342</v>
      </c>
      <c r="F25" s="15">
        <v>2785</v>
      </c>
      <c r="G25" s="16">
        <v>9503</v>
      </c>
    </row>
    <row r="26" spans="2:7">
      <c r="B26" s="14" t="s">
        <v>31</v>
      </c>
      <c r="C26" s="15">
        <v>11</v>
      </c>
      <c r="D26" s="15">
        <v>83</v>
      </c>
      <c r="E26" s="15">
        <v>99388</v>
      </c>
      <c r="F26" s="15">
        <v>5012087</v>
      </c>
      <c r="G26" s="16">
        <v>14563123</v>
      </c>
    </row>
    <row r="27" spans="2:7">
      <c r="B27" s="14" t="s">
        <v>32</v>
      </c>
      <c r="C27" s="15">
        <v>2</v>
      </c>
      <c r="D27" s="15">
        <v>33</v>
      </c>
      <c r="E27" s="15">
        <v>992</v>
      </c>
      <c r="F27" s="15">
        <v>17912</v>
      </c>
      <c r="G27" s="16">
        <v>77368</v>
      </c>
    </row>
    <row r="28" spans="2:7">
      <c r="B28" s="14" t="s">
        <v>33</v>
      </c>
      <c r="C28" s="15">
        <v>6</v>
      </c>
      <c r="D28" s="15">
        <v>6</v>
      </c>
      <c r="E28" s="15">
        <v>1693</v>
      </c>
      <c r="F28" s="15">
        <v>21132</v>
      </c>
      <c r="G28" s="16">
        <v>80324</v>
      </c>
    </row>
    <row r="29" spans="2:7">
      <c r="B29" s="14" t="s">
        <v>34</v>
      </c>
      <c r="C29" s="15">
        <v>6</v>
      </c>
      <c r="D29" s="15">
        <v>9</v>
      </c>
      <c r="E29" s="15">
        <v>284</v>
      </c>
      <c r="F29" s="15">
        <v>6246</v>
      </c>
      <c r="G29" s="16">
        <v>22883</v>
      </c>
    </row>
    <row r="30" spans="2:7">
      <c r="B30" s="14" t="s">
        <v>35</v>
      </c>
      <c r="C30" s="15">
        <v>2</v>
      </c>
      <c r="D30" s="15">
        <v>26</v>
      </c>
      <c r="E30" s="15">
        <v>4978</v>
      </c>
      <c r="F30" s="15">
        <v>58482</v>
      </c>
      <c r="G30" s="16">
        <v>257631</v>
      </c>
    </row>
    <row r="31" spans="2:7">
      <c r="B31" s="14" t="s">
        <v>36</v>
      </c>
      <c r="C31" s="15">
        <v>4</v>
      </c>
      <c r="D31" s="15">
        <v>281</v>
      </c>
      <c r="E31" s="15">
        <v>17223</v>
      </c>
      <c r="F31" s="15">
        <v>184726</v>
      </c>
      <c r="G31" s="16">
        <v>838470</v>
      </c>
    </row>
    <row r="32" spans="2:7">
      <c r="B32" s="17" t="s">
        <v>37</v>
      </c>
      <c r="C32" s="18">
        <v>1</v>
      </c>
      <c r="D32" s="18">
        <v>7</v>
      </c>
      <c r="E32" s="18">
        <v>637</v>
      </c>
      <c r="F32" s="18">
        <v>8087</v>
      </c>
      <c r="G32" s="19">
        <v>40498</v>
      </c>
    </row>
    <row r="34" spans="2:7">
      <c r="B34" s="3" t="s">
        <v>38</v>
      </c>
      <c r="C34" s="8">
        <f>SUM(C4:C32)</f>
        <v>4283</v>
      </c>
      <c r="D34" s="8">
        <f t="shared" ref="D34:G34" si="0">SUM(D4:D32)</f>
        <v>306537</v>
      </c>
      <c r="E34" s="8">
        <f t="shared" si="0"/>
        <v>31147298</v>
      </c>
      <c r="F34" s="8">
        <f t="shared" si="0"/>
        <v>336054744</v>
      </c>
      <c r="G34" s="8">
        <f t="shared" si="0"/>
        <v>1578683988</v>
      </c>
    </row>
  </sheetData>
  <sheetCalcPr fullCalcOnLoad="1"/>
  <mergeCells count="1">
    <mergeCell ref="C1:G1"/>
  </mergeCells>
  <phoneticPr fontId="1" type="noConversion"/>
  <pageMargins left="0.35629921259842523" right="0.35629921259842523" top="0.40944881889763785" bottom="0.40944881889763785" header="0" footer="0"/>
  <pageSetup paperSize="0" scale="96" orientation="portrait" horizontalDpi="4294967292" verticalDpi="4294967292"/>
  <colBreaks count="1" manualBreakCount="1">
    <brk id="7" max="1048575" man="1" pt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B1:G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RowHeight="16"/>
  <cols>
    <col min="1" max="1" width="10.7109375" style="1"/>
    <col min="2" max="2" width="8.42578125" style="1" customWidth="1"/>
    <col min="3" max="3" width="9.140625" style="1" customWidth="1"/>
    <col min="4" max="4" width="11.42578125" style="1" customWidth="1"/>
    <col min="5" max="5" width="12.5703125" style="1" customWidth="1"/>
    <col min="6" max="6" width="13.140625" style="1" customWidth="1"/>
    <col min="7" max="7" width="16.28515625" style="1" customWidth="1"/>
    <col min="8" max="11" width="8.5703125" style="1" bestFit="1" customWidth="1"/>
    <col min="12" max="12" width="6.140625" style="1" bestFit="1" customWidth="1"/>
    <col min="13" max="13" width="5.7109375" style="1" bestFit="1" customWidth="1"/>
    <col min="14" max="15" width="9.28515625" style="1" bestFit="1" customWidth="1"/>
    <col min="16" max="16" width="8.28515625" style="1" bestFit="1" customWidth="1"/>
    <col min="17" max="17" width="7.28515625" style="1" bestFit="1" customWidth="1"/>
    <col min="18" max="20" width="10.28515625" style="1" bestFit="1" customWidth="1"/>
    <col min="21" max="21" width="6.42578125" style="1" bestFit="1" customWidth="1"/>
    <col min="22" max="22" width="11.28515625" style="1" bestFit="1" customWidth="1"/>
    <col min="23" max="23" width="12.28515625" style="1" bestFit="1" customWidth="1"/>
    <col min="24" max="16384" width="10.7109375" style="1"/>
  </cols>
  <sheetData>
    <row r="1" spans="2:7" ht="18">
      <c r="B1" s="7" t="s">
        <v>43</v>
      </c>
      <c r="C1" s="7" t="s">
        <v>44</v>
      </c>
      <c r="D1" s="7"/>
      <c r="E1" s="7"/>
      <c r="F1" s="7"/>
      <c r="G1" s="7"/>
    </row>
    <row r="2" spans="2:7">
      <c r="B2" s="4" t="s">
        <v>2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</row>
    <row r="3" spans="2:7">
      <c r="B3" s="6"/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2:7">
      <c r="B4" s="11" t="s">
        <v>9</v>
      </c>
      <c r="C4" s="12">
        <v>78</v>
      </c>
      <c r="D4" s="12">
        <v>7964</v>
      </c>
      <c r="E4" s="12">
        <v>233935</v>
      </c>
      <c r="F4" s="12">
        <v>3600621</v>
      </c>
      <c r="G4" s="13">
        <v>17609392</v>
      </c>
    </row>
    <row r="5" spans="2:7">
      <c r="B5" s="14" t="s">
        <v>10</v>
      </c>
      <c r="C5" s="15">
        <v>538</v>
      </c>
      <c r="D5" s="15">
        <v>88504</v>
      </c>
      <c r="E5" s="15">
        <v>3651933</v>
      </c>
      <c r="F5" s="15">
        <v>38821271</v>
      </c>
      <c r="G5" s="16">
        <v>188917852</v>
      </c>
    </row>
    <row r="6" spans="2:7">
      <c r="B6" s="14" t="s">
        <v>11</v>
      </c>
      <c r="C6" s="15">
        <v>408</v>
      </c>
      <c r="D6" s="15">
        <v>48511</v>
      </c>
      <c r="E6" s="15">
        <v>2368624</v>
      </c>
      <c r="F6" s="15">
        <v>20637932</v>
      </c>
      <c r="G6" s="16">
        <v>98424806</v>
      </c>
    </row>
    <row r="7" spans="2:7">
      <c r="B7" s="14" t="s">
        <v>12</v>
      </c>
      <c r="C7" s="15">
        <v>773</v>
      </c>
      <c r="D7" s="15">
        <v>81040</v>
      </c>
      <c r="E7" s="15">
        <v>7174949</v>
      </c>
      <c r="F7" s="15">
        <v>73067351</v>
      </c>
      <c r="G7" s="16">
        <v>347879847</v>
      </c>
    </row>
    <row r="8" spans="2:7">
      <c r="B8" s="14" t="s">
        <v>13</v>
      </c>
      <c r="C8" s="15">
        <v>264</v>
      </c>
      <c r="D8" s="15">
        <v>55487</v>
      </c>
      <c r="E8" s="15">
        <v>1329781</v>
      </c>
      <c r="F8" s="15">
        <v>28125383</v>
      </c>
      <c r="G8" s="16">
        <v>101863260</v>
      </c>
    </row>
    <row r="9" spans="2:7">
      <c r="B9" s="14" t="s">
        <v>14</v>
      </c>
      <c r="C9" s="15">
        <v>173</v>
      </c>
      <c r="D9" s="15">
        <v>12609</v>
      </c>
      <c r="E9" s="15">
        <v>135845</v>
      </c>
      <c r="F9" s="15">
        <v>2572900</v>
      </c>
      <c r="G9" s="16">
        <v>10859382</v>
      </c>
    </row>
    <row r="10" spans="2:7">
      <c r="B10" s="14" t="s">
        <v>15</v>
      </c>
      <c r="C10" s="15">
        <v>13</v>
      </c>
      <c r="D10" s="15">
        <v>97</v>
      </c>
      <c r="E10" s="15">
        <v>1231</v>
      </c>
      <c r="F10" s="15">
        <v>13712</v>
      </c>
      <c r="G10" s="16">
        <v>51684</v>
      </c>
    </row>
    <row r="11" spans="2:7">
      <c r="B11" s="14" t="s">
        <v>16</v>
      </c>
      <c r="C11" s="15">
        <v>2</v>
      </c>
      <c r="D11" s="15">
        <v>26</v>
      </c>
      <c r="E11" s="15">
        <v>4882</v>
      </c>
      <c r="F11" s="15">
        <v>37021</v>
      </c>
      <c r="G11" s="16">
        <v>161950</v>
      </c>
    </row>
    <row r="12" spans="2:7">
      <c r="B12" s="14" t="s">
        <v>17</v>
      </c>
      <c r="C12" s="15">
        <v>447</v>
      </c>
      <c r="D12" s="15">
        <v>70639</v>
      </c>
      <c r="E12" s="15">
        <v>2997991</v>
      </c>
      <c r="F12" s="15">
        <v>31747425</v>
      </c>
      <c r="G12" s="16">
        <v>154595094</v>
      </c>
    </row>
    <row r="13" spans="2:7">
      <c r="B13" s="14" t="s">
        <v>18</v>
      </c>
      <c r="C13" s="15">
        <v>27</v>
      </c>
      <c r="D13" s="15">
        <v>1519</v>
      </c>
      <c r="E13" s="15">
        <v>54703</v>
      </c>
      <c r="F13" s="15">
        <v>423226</v>
      </c>
      <c r="G13" s="16">
        <v>1599021</v>
      </c>
    </row>
    <row r="14" spans="2:7">
      <c r="B14" s="14" t="s">
        <v>19</v>
      </c>
      <c r="C14" s="15">
        <v>29</v>
      </c>
      <c r="D14" s="15">
        <v>274</v>
      </c>
      <c r="E14" s="15">
        <v>3392</v>
      </c>
      <c r="F14" s="15">
        <v>27177</v>
      </c>
      <c r="G14" s="16">
        <v>111689</v>
      </c>
    </row>
    <row r="15" spans="2:7">
      <c r="B15" s="14" t="s">
        <v>20</v>
      </c>
      <c r="C15" s="15">
        <v>13</v>
      </c>
      <c r="D15" s="15">
        <v>618</v>
      </c>
      <c r="E15" s="15">
        <v>25085</v>
      </c>
      <c r="F15" s="15">
        <v>234984</v>
      </c>
      <c r="G15" s="16">
        <v>1063085</v>
      </c>
    </row>
    <row r="16" spans="2:7">
      <c r="B16" s="14" t="s">
        <v>21</v>
      </c>
      <c r="C16" s="15">
        <v>1</v>
      </c>
      <c r="D16" s="15">
        <v>9</v>
      </c>
      <c r="E16" s="15">
        <v>2304</v>
      </c>
      <c r="F16" s="15">
        <v>24354</v>
      </c>
      <c r="G16" s="16">
        <v>108048</v>
      </c>
    </row>
    <row r="17" spans="2:7">
      <c r="B17" s="14" t="s">
        <v>22</v>
      </c>
      <c r="C17" s="15">
        <v>183</v>
      </c>
      <c r="D17" s="15">
        <v>18619</v>
      </c>
      <c r="E17" s="15">
        <v>1669615</v>
      </c>
      <c r="F17" s="15">
        <v>17127729</v>
      </c>
      <c r="G17" s="16">
        <v>81169604</v>
      </c>
    </row>
    <row r="18" spans="2:7">
      <c r="B18" s="14" t="s">
        <v>23</v>
      </c>
      <c r="C18" s="15">
        <v>169</v>
      </c>
      <c r="D18" s="15">
        <v>16705</v>
      </c>
      <c r="E18" s="15">
        <v>1628778</v>
      </c>
      <c r="F18" s="15">
        <v>16609189</v>
      </c>
      <c r="G18" s="16">
        <v>79020825</v>
      </c>
    </row>
    <row r="19" spans="2:7">
      <c r="B19" s="14" t="s">
        <v>24</v>
      </c>
      <c r="C19" s="15">
        <v>151</v>
      </c>
      <c r="D19" s="15">
        <v>14378</v>
      </c>
      <c r="E19" s="15">
        <v>1406109</v>
      </c>
      <c r="F19" s="15">
        <v>14292546</v>
      </c>
      <c r="G19" s="16">
        <v>68396521</v>
      </c>
    </row>
    <row r="20" spans="2:7">
      <c r="B20" s="14" t="s">
        <v>25</v>
      </c>
      <c r="C20" s="15">
        <v>123</v>
      </c>
      <c r="D20" s="15">
        <v>12139</v>
      </c>
      <c r="E20" s="15">
        <v>1136645</v>
      </c>
      <c r="F20" s="15">
        <v>11570828</v>
      </c>
      <c r="G20" s="16">
        <v>55187462</v>
      </c>
    </row>
    <row r="21" spans="2:7">
      <c r="B21" s="14" t="s">
        <v>26</v>
      </c>
      <c r="C21" s="15">
        <v>11</v>
      </c>
      <c r="D21" s="15">
        <v>1139</v>
      </c>
      <c r="E21" s="15">
        <v>103355</v>
      </c>
      <c r="F21" s="15">
        <v>1067779</v>
      </c>
      <c r="G21" s="16">
        <v>5052846</v>
      </c>
    </row>
    <row r="22" spans="2:7">
      <c r="B22" s="14" t="s">
        <v>27</v>
      </c>
      <c r="C22" s="15">
        <v>7</v>
      </c>
      <c r="D22" s="15">
        <v>643</v>
      </c>
      <c r="E22" s="15">
        <v>65545</v>
      </c>
      <c r="F22" s="15">
        <v>670851</v>
      </c>
      <c r="G22" s="16">
        <v>3179440</v>
      </c>
    </row>
    <row r="23" spans="2:7">
      <c r="B23" s="14" t="s">
        <v>28</v>
      </c>
      <c r="C23" s="15">
        <v>3</v>
      </c>
      <c r="D23" s="15">
        <v>268</v>
      </c>
      <c r="E23" s="15">
        <v>29696</v>
      </c>
      <c r="F23" s="15">
        <v>295640</v>
      </c>
      <c r="G23" s="16">
        <v>1436253</v>
      </c>
    </row>
    <row r="24" spans="2:7">
      <c r="B24" s="14" t="s">
        <v>29</v>
      </c>
      <c r="C24" s="15">
        <v>1</v>
      </c>
      <c r="D24" s="15">
        <v>71</v>
      </c>
      <c r="E24" s="15">
        <v>10045</v>
      </c>
      <c r="F24" s="15">
        <v>101051</v>
      </c>
      <c r="G24" s="16">
        <v>487444</v>
      </c>
    </row>
    <row r="25" spans="2:7">
      <c r="B25" s="14" t="s">
        <v>30</v>
      </c>
      <c r="C25" s="15">
        <v>10</v>
      </c>
      <c r="D25" s="15">
        <v>27</v>
      </c>
      <c r="E25" s="15">
        <v>427</v>
      </c>
      <c r="F25" s="15">
        <v>3181</v>
      </c>
      <c r="G25" s="16">
        <v>11046</v>
      </c>
    </row>
    <row r="26" spans="2:7">
      <c r="B26" s="14" t="s">
        <v>31</v>
      </c>
      <c r="C26" s="15">
        <v>11</v>
      </c>
      <c r="D26" s="15">
        <v>988</v>
      </c>
      <c r="E26" s="15">
        <v>100661</v>
      </c>
      <c r="F26" s="15">
        <v>5026111</v>
      </c>
      <c r="G26" s="16">
        <v>14608690</v>
      </c>
    </row>
    <row r="27" spans="2:7">
      <c r="B27" s="14" t="s">
        <v>32</v>
      </c>
      <c r="C27" s="15">
        <v>2</v>
      </c>
      <c r="D27" s="15">
        <v>103</v>
      </c>
      <c r="E27" s="15">
        <v>1069</v>
      </c>
      <c r="F27" s="15">
        <v>18750</v>
      </c>
      <c r="G27" s="16">
        <v>80985</v>
      </c>
    </row>
    <row r="28" spans="2:7">
      <c r="B28" s="14" t="s">
        <v>33</v>
      </c>
      <c r="C28" s="15">
        <v>6</v>
      </c>
      <c r="D28" s="15">
        <v>27</v>
      </c>
      <c r="E28" s="15">
        <v>1733</v>
      </c>
      <c r="F28" s="15">
        <v>21282</v>
      </c>
      <c r="G28" s="16">
        <v>80725</v>
      </c>
    </row>
    <row r="29" spans="2:7">
      <c r="B29" s="17" t="s">
        <v>34</v>
      </c>
      <c r="C29" s="18">
        <v>6</v>
      </c>
      <c r="D29" s="18">
        <v>50</v>
      </c>
      <c r="E29" s="18">
        <v>342</v>
      </c>
      <c r="F29" s="18">
        <v>6528</v>
      </c>
      <c r="G29" s="19">
        <v>23898</v>
      </c>
    </row>
    <row r="30" spans="2:7">
      <c r="C30" s="2"/>
      <c r="D30" s="2"/>
      <c r="E30" s="2"/>
      <c r="F30" s="2"/>
      <c r="G30" s="2"/>
    </row>
    <row r="31" spans="2:7">
      <c r="B31" s="3" t="s">
        <v>38</v>
      </c>
      <c r="C31" s="8">
        <f>SUM(C1:C29)</f>
        <v>3449</v>
      </c>
      <c r="D31" s="8">
        <f t="shared" ref="D31:G31" si="0">SUM(D1:D29)</f>
        <v>432454</v>
      </c>
      <c r="E31" s="8">
        <f t="shared" si="0"/>
        <v>24138675</v>
      </c>
      <c r="F31" s="8">
        <f t="shared" si="0"/>
        <v>266144822</v>
      </c>
      <c r="G31" s="8">
        <f t="shared" si="0"/>
        <v>1231980849</v>
      </c>
    </row>
  </sheetData>
  <sheetCalcPr fullCalcOnLoad="1"/>
  <phoneticPr fontId="1" type="noConversion"/>
  <pageMargins left="0.75" right="0.75" top="1" bottom="1" header="0.5" footer="0.5"/>
  <pageSetup paperSize="0" scale="97" orientation="portrait" horizontalDpi="4294967292" verticalDpi="4294967292"/>
  <colBreaks count="1" manualBreakCount="1">
    <brk id="7" max="30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B1:W3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" sqref="B1:G31"/>
    </sheetView>
  </sheetViews>
  <sheetFormatPr baseColWidth="10" defaultRowHeight="16"/>
  <cols>
    <col min="1" max="1" width="10.7109375" style="1"/>
    <col min="2" max="2" width="7.42578125" style="1" customWidth="1"/>
    <col min="3" max="3" width="8.7109375" style="1" customWidth="1"/>
    <col min="4" max="4" width="11" style="1" customWidth="1"/>
    <col min="5" max="5" width="12.5703125" style="1" customWidth="1"/>
    <col min="6" max="6" width="14.5703125" style="1" customWidth="1"/>
    <col min="7" max="7" width="16" style="1" customWidth="1"/>
    <col min="8" max="11" width="8.5703125" style="1" bestFit="1" customWidth="1"/>
    <col min="12" max="12" width="6.140625" style="1" bestFit="1" customWidth="1"/>
    <col min="13" max="13" width="5.7109375" style="1" bestFit="1" customWidth="1"/>
    <col min="14" max="15" width="10.28515625" style="1" bestFit="1" customWidth="1"/>
    <col min="16" max="16" width="8.28515625" style="1" bestFit="1" customWidth="1"/>
    <col min="17" max="17" width="7.28515625" style="1" bestFit="1" customWidth="1"/>
    <col min="18" max="18" width="11.28515625" style="1" bestFit="1" customWidth="1"/>
    <col min="19" max="19" width="12.28515625" style="1" bestFit="1" customWidth="1"/>
    <col min="20" max="20" width="10.28515625" style="1" bestFit="1" customWidth="1"/>
    <col min="21" max="21" width="7.28515625" style="1" bestFit="1" customWidth="1"/>
    <col min="22" max="23" width="12.28515625" style="1" bestFit="1" customWidth="1"/>
    <col min="24" max="16384" width="10.7109375" style="1"/>
  </cols>
  <sheetData>
    <row r="1" spans="2:7" ht="18">
      <c r="B1" s="9" t="s">
        <v>42</v>
      </c>
      <c r="C1" s="10" t="s">
        <v>47</v>
      </c>
      <c r="D1" s="10"/>
      <c r="E1" s="10"/>
      <c r="F1" s="10"/>
      <c r="G1" s="10"/>
    </row>
    <row r="2" spans="2:7">
      <c r="B2" s="4" t="s">
        <v>2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</row>
    <row r="3" spans="2:7">
      <c r="B3" s="6"/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2:7">
      <c r="B4" s="11" t="s">
        <v>9</v>
      </c>
      <c r="C4" s="12">
        <v>78</v>
      </c>
      <c r="D4" s="12">
        <v>1359</v>
      </c>
      <c r="E4" s="12">
        <v>225973</v>
      </c>
      <c r="F4" s="12">
        <v>3554376</v>
      </c>
      <c r="G4" s="13">
        <v>17396077</v>
      </c>
    </row>
    <row r="5" spans="2:7">
      <c r="B5" s="14" t="s">
        <v>10</v>
      </c>
      <c r="C5" s="15">
        <v>538</v>
      </c>
      <c r="D5" s="15">
        <v>56447</v>
      </c>
      <c r="E5" s="15">
        <v>3571369</v>
      </c>
      <c r="F5" s="15">
        <v>38024727</v>
      </c>
      <c r="G5" s="16">
        <v>185910304</v>
      </c>
    </row>
    <row r="6" spans="2:7">
      <c r="B6" s="14" t="s">
        <v>11</v>
      </c>
      <c r="C6" s="15">
        <v>408</v>
      </c>
      <c r="D6" s="15">
        <v>13547</v>
      </c>
      <c r="E6" s="15">
        <v>2323346</v>
      </c>
      <c r="F6" s="15">
        <v>20264713</v>
      </c>
      <c r="G6" s="16">
        <v>96928436</v>
      </c>
    </row>
    <row r="7" spans="2:7">
      <c r="B7" s="14" t="s">
        <v>12</v>
      </c>
      <c r="C7" s="15">
        <v>773</v>
      </c>
      <c r="D7" s="15">
        <v>55739</v>
      </c>
      <c r="E7" s="15">
        <v>7120377</v>
      </c>
      <c r="F7" s="15">
        <v>72577484</v>
      </c>
      <c r="G7" s="16">
        <v>346140730</v>
      </c>
    </row>
    <row r="8" spans="2:7">
      <c r="B8" s="14" t="s">
        <v>13</v>
      </c>
      <c r="C8" s="15">
        <v>264</v>
      </c>
      <c r="D8" s="15">
        <v>25312</v>
      </c>
      <c r="E8" s="15">
        <v>1243200</v>
      </c>
      <c r="F8" s="15">
        <v>27094736</v>
      </c>
      <c r="G8" s="16">
        <v>98351007</v>
      </c>
    </row>
    <row r="9" spans="2:7">
      <c r="B9" s="14" t="s">
        <v>14</v>
      </c>
      <c r="C9" s="15">
        <v>173</v>
      </c>
      <c r="D9" s="15">
        <v>5342</v>
      </c>
      <c r="E9" s="15">
        <v>121603</v>
      </c>
      <c r="F9" s="15">
        <v>2441202</v>
      </c>
      <c r="G9" s="16">
        <v>10340176</v>
      </c>
    </row>
    <row r="10" spans="2:7">
      <c r="B10" s="14" t="s">
        <v>15</v>
      </c>
      <c r="C10" s="15">
        <v>13</v>
      </c>
      <c r="D10" s="15">
        <v>27</v>
      </c>
      <c r="E10" s="15">
        <v>941</v>
      </c>
      <c r="F10" s="15">
        <v>12008</v>
      </c>
      <c r="G10" s="16">
        <v>45485</v>
      </c>
    </row>
    <row r="11" spans="2:7">
      <c r="B11" s="14" t="s">
        <v>16</v>
      </c>
      <c r="C11" s="15">
        <v>2</v>
      </c>
      <c r="D11" s="15">
        <v>11</v>
      </c>
      <c r="E11" s="15">
        <v>4844</v>
      </c>
      <c r="F11" s="15">
        <v>36748</v>
      </c>
      <c r="G11" s="16">
        <v>161209</v>
      </c>
    </row>
    <row r="12" spans="2:7">
      <c r="B12" s="14" t="s">
        <v>17</v>
      </c>
      <c r="C12" s="15">
        <v>447</v>
      </c>
      <c r="D12" s="15">
        <v>45657</v>
      </c>
      <c r="E12" s="15">
        <v>2934351</v>
      </c>
      <c r="F12" s="15">
        <v>31104315</v>
      </c>
      <c r="G12" s="16">
        <v>152203201</v>
      </c>
    </row>
    <row r="13" spans="2:7">
      <c r="B13" s="14" t="s">
        <v>18</v>
      </c>
      <c r="C13" s="15">
        <v>27</v>
      </c>
      <c r="D13" s="15">
        <v>679</v>
      </c>
      <c r="E13" s="15">
        <v>52429</v>
      </c>
      <c r="F13" s="15">
        <v>409352</v>
      </c>
      <c r="G13" s="16">
        <v>1555739</v>
      </c>
    </row>
    <row r="14" spans="2:7">
      <c r="B14" s="14" t="s">
        <v>19</v>
      </c>
      <c r="C14" s="15">
        <v>29</v>
      </c>
      <c r="D14" s="15">
        <v>45</v>
      </c>
      <c r="E14" s="15">
        <v>2732</v>
      </c>
      <c r="F14" s="15">
        <v>23593</v>
      </c>
      <c r="G14" s="16">
        <v>99107</v>
      </c>
    </row>
    <row r="15" spans="2:7">
      <c r="B15" s="14" t="s">
        <v>20</v>
      </c>
      <c r="C15" s="15">
        <v>13</v>
      </c>
      <c r="D15" s="15">
        <v>140</v>
      </c>
      <c r="E15" s="15">
        <v>24273</v>
      </c>
      <c r="F15" s="15">
        <v>230437</v>
      </c>
      <c r="G15" s="16">
        <v>1045935</v>
      </c>
    </row>
    <row r="16" spans="2:7">
      <c r="B16" s="14" t="s">
        <v>21</v>
      </c>
      <c r="C16" s="15">
        <v>1</v>
      </c>
      <c r="D16" s="15">
        <v>5</v>
      </c>
      <c r="E16" s="15">
        <v>2293</v>
      </c>
      <c r="F16" s="15">
        <v>24213</v>
      </c>
      <c r="G16" s="16">
        <v>107674</v>
      </c>
    </row>
    <row r="17" spans="2:23">
      <c r="B17" s="14" t="s">
        <v>22</v>
      </c>
      <c r="C17" s="15">
        <v>183</v>
      </c>
      <c r="D17" s="15">
        <v>12565</v>
      </c>
      <c r="E17" s="15">
        <v>1658251</v>
      </c>
      <c r="F17" s="15">
        <v>17023573</v>
      </c>
      <c r="G17" s="16">
        <v>80799096</v>
      </c>
    </row>
    <row r="18" spans="2:23">
      <c r="B18" s="14" t="s">
        <v>23</v>
      </c>
      <c r="C18" s="15">
        <v>169</v>
      </c>
      <c r="D18" s="15">
        <v>11519</v>
      </c>
      <c r="E18" s="15">
        <v>1619960</v>
      </c>
      <c r="F18" s="15">
        <v>16529813</v>
      </c>
      <c r="G18" s="16">
        <v>78737804</v>
      </c>
    </row>
    <row r="19" spans="2:23">
      <c r="B19" s="14" t="s">
        <v>24</v>
      </c>
      <c r="C19" s="15">
        <v>151</v>
      </c>
      <c r="D19" s="15">
        <v>9765</v>
      </c>
      <c r="E19" s="15">
        <v>1397371</v>
      </c>
      <c r="F19" s="15">
        <v>14212825</v>
      </c>
      <c r="G19" s="16">
        <v>68113266</v>
      </c>
    </row>
    <row r="20" spans="2:23">
      <c r="B20" s="14" t="s">
        <v>25</v>
      </c>
      <c r="C20" s="15">
        <v>123</v>
      </c>
      <c r="D20" s="15">
        <v>8086</v>
      </c>
      <c r="E20" s="15">
        <v>1129125</v>
      </c>
      <c r="F20" s="15">
        <v>11504467</v>
      </c>
      <c r="G20" s="16">
        <v>54946093</v>
      </c>
    </row>
    <row r="21" spans="2:23">
      <c r="B21" s="14" t="s">
        <v>26</v>
      </c>
      <c r="C21" s="15">
        <v>11</v>
      </c>
      <c r="D21" s="15">
        <v>821</v>
      </c>
      <c r="E21" s="15">
        <v>102707</v>
      </c>
      <c r="F21" s="15">
        <v>1062454</v>
      </c>
      <c r="G21" s="16">
        <v>5032707</v>
      </c>
    </row>
    <row r="22" spans="2:23">
      <c r="B22" s="14" t="s">
        <v>27</v>
      </c>
      <c r="C22" s="15">
        <v>7</v>
      </c>
      <c r="D22" s="15">
        <v>427</v>
      </c>
      <c r="E22" s="15">
        <v>65152</v>
      </c>
      <c r="F22" s="15">
        <v>667739</v>
      </c>
      <c r="G22" s="16">
        <v>3167760</v>
      </c>
    </row>
    <row r="23" spans="2:23">
      <c r="B23" s="14" t="s">
        <v>28</v>
      </c>
      <c r="C23" s="15">
        <v>3</v>
      </c>
      <c r="D23" s="15">
        <v>185</v>
      </c>
      <c r="E23" s="15">
        <v>29569</v>
      </c>
      <c r="F23" s="15">
        <v>294661</v>
      </c>
      <c r="G23" s="16">
        <v>1432547</v>
      </c>
    </row>
    <row r="24" spans="2:23">
      <c r="B24" s="14" t="s">
        <v>29</v>
      </c>
      <c r="C24" s="15">
        <v>1</v>
      </c>
      <c r="D24" s="15">
        <v>46</v>
      </c>
      <c r="E24" s="15">
        <v>10004</v>
      </c>
      <c r="F24" s="15">
        <v>100750</v>
      </c>
      <c r="G24" s="16">
        <v>486195</v>
      </c>
    </row>
    <row r="25" spans="2:23">
      <c r="B25" s="14" t="s">
        <v>30</v>
      </c>
      <c r="C25" s="15">
        <v>10</v>
      </c>
      <c r="D25" s="15">
        <v>12</v>
      </c>
      <c r="E25" s="15">
        <v>342</v>
      </c>
      <c r="F25" s="15">
        <v>2785</v>
      </c>
      <c r="G25" s="16">
        <v>9503</v>
      </c>
    </row>
    <row r="26" spans="2:23">
      <c r="B26" s="14" t="s">
        <v>31</v>
      </c>
      <c r="C26" s="15">
        <v>11</v>
      </c>
      <c r="D26" s="15">
        <v>83</v>
      </c>
      <c r="E26" s="15">
        <v>99388</v>
      </c>
      <c r="F26" s="15">
        <v>5012087</v>
      </c>
      <c r="G26" s="16">
        <v>14563123</v>
      </c>
    </row>
    <row r="27" spans="2:23">
      <c r="B27" s="14" t="s">
        <v>32</v>
      </c>
      <c r="C27" s="15">
        <v>2</v>
      </c>
      <c r="D27" s="15">
        <v>33</v>
      </c>
      <c r="E27" s="15">
        <v>993</v>
      </c>
      <c r="F27" s="15">
        <v>17918</v>
      </c>
      <c r="G27" s="16">
        <v>77391</v>
      </c>
    </row>
    <row r="28" spans="2:23">
      <c r="B28" s="14" t="s">
        <v>33</v>
      </c>
      <c r="C28" s="15">
        <v>6</v>
      </c>
      <c r="D28" s="15">
        <v>6</v>
      </c>
      <c r="E28" s="15">
        <v>1693</v>
      </c>
      <c r="F28" s="15">
        <v>21132</v>
      </c>
      <c r="G28" s="16">
        <v>80324</v>
      </c>
    </row>
    <row r="29" spans="2:23">
      <c r="B29" s="17" t="s">
        <v>34</v>
      </c>
      <c r="C29" s="18">
        <v>6</v>
      </c>
      <c r="D29" s="18">
        <v>8</v>
      </c>
      <c r="E29" s="18">
        <v>291</v>
      </c>
      <c r="F29" s="18">
        <v>6192</v>
      </c>
      <c r="G29" s="19">
        <v>22890</v>
      </c>
    </row>
    <row r="30" spans="2:23">
      <c r="C30" s="2"/>
      <c r="D30" s="2"/>
      <c r="E30" s="2"/>
      <c r="F30" s="2"/>
      <c r="G30" s="2"/>
    </row>
    <row r="31" spans="2:23">
      <c r="B31" s="3" t="s">
        <v>38</v>
      </c>
      <c r="C31" s="8">
        <f>SUM(C1:C29)</f>
        <v>3449</v>
      </c>
      <c r="D31" s="8">
        <f t="shared" ref="D31:G31" si="0">SUM(D1:D29)</f>
        <v>247866</v>
      </c>
      <c r="E31" s="8">
        <f t="shared" si="0"/>
        <v>23742577</v>
      </c>
      <c r="F31" s="8">
        <f t="shared" si="0"/>
        <v>262254300</v>
      </c>
      <c r="G31" s="8">
        <f t="shared" si="0"/>
        <v>1217753779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</sheetData>
  <sheetCalcPr fullCalcOnLoad="1"/>
  <mergeCells count="1">
    <mergeCell ref="C1:G1"/>
  </mergeCells>
  <phoneticPr fontId="1" type="noConversion"/>
  <pageMargins left="0.35629921259842523" right="0.35629921259842523" top="0.40944881889763785" bottom="0.40944881889763785" header="0" footer="0"/>
  <pageSetup paperSize="0" scale="95" orientation="portrait" horizontalDpi="4294967292" verticalDpi="4294967292"/>
  <colBreaks count="1" manualBreakCount="1">
    <brk id="7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B1:G34"/>
  <sheetViews>
    <sheetView workbookViewId="0">
      <selection activeCell="B1" sqref="B1"/>
    </sheetView>
  </sheetViews>
  <sheetFormatPr baseColWidth="10" defaultRowHeight="16"/>
  <cols>
    <col min="1" max="1" width="10.7109375" style="1"/>
    <col min="2" max="2" width="6" style="1" customWidth="1"/>
    <col min="3" max="3" width="8.7109375" style="1" customWidth="1"/>
    <col min="4" max="4" width="10.85546875" style="1" customWidth="1"/>
    <col min="5" max="5" width="13" style="1" customWidth="1"/>
    <col min="6" max="6" width="15.7109375" style="1" customWidth="1"/>
    <col min="7" max="7" width="16.28515625" style="1" customWidth="1"/>
    <col min="8" max="9" width="9.5703125" style="1" customWidth="1"/>
    <col min="10" max="11" width="8.5703125" style="1" customWidth="1"/>
    <col min="12" max="12" width="8.28515625" style="1" customWidth="1"/>
    <col min="13" max="13" width="5.7109375" style="1" customWidth="1"/>
    <col min="14" max="15" width="9.28515625" style="1" customWidth="1"/>
    <col min="16" max="16" width="10.28515625" style="1" customWidth="1"/>
    <col min="17" max="17" width="7.28515625" style="1" customWidth="1"/>
    <col min="18" max="19" width="10.28515625" style="1" customWidth="1"/>
    <col min="20" max="20" width="11.28515625" style="1" customWidth="1"/>
    <col min="21" max="21" width="6.42578125" style="1" customWidth="1"/>
    <col min="22" max="22" width="11.28515625" style="1" customWidth="1"/>
    <col min="23" max="23" width="12.28515625" style="1" customWidth="1"/>
    <col min="24" max="16384" width="10.7109375" style="1"/>
  </cols>
  <sheetData>
    <row r="1" spans="2:7" ht="18">
      <c r="B1" s="9" t="s">
        <v>42</v>
      </c>
      <c r="C1" s="10" t="s">
        <v>48</v>
      </c>
      <c r="D1" s="10"/>
      <c r="E1" s="10"/>
      <c r="F1" s="10"/>
      <c r="G1" s="10"/>
    </row>
    <row r="2" spans="2:7">
      <c r="B2" s="4" t="s">
        <v>2</v>
      </c>
      <c r="C2" s="5" t="s">
        <v>40</v>
      </c>
      <c r="D2" s="5" t="s">
        <v>41</v>
      </c>
      <c r="E2" s="5" t="s">
        <v>41</v>
      </c>
      <c r="F2" s="5" t="s">
        <v>41</v>
      </c>
      <c r="G2" s="5" t="s">
        <v>41</v>
      </c>
    </row>
    <row r="3" spans="2:7">
      <c r="B3" s="6"/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2:7">
      <c r="B4" s="11" t="s">
        <v>9</v>
      </c>
      <c r="C4" s="12">
        <f>'tokendb-0808-all-min0chars'!C4-'tokendb-0802-all-min0chars'!C4</f>
        <v>0</v>
      </c>
      <c r="D4" s="12">
        <f>'tokendb-0808-all-min0chars'!D4-'tokendb-0802-all-min0chars'!D4</f>
        <v>0</v>
      </c>
      <c r="E4" s="12">
        <f>'tokendb-0808-all-min0chars'!E4-'tokendb-0802-all-min0chars'!E4</f>
        <v>0</v>
      </c>
      <c r="F4" s="12">
        <f>'tokendb-0808-all-min0chars'!F4-'tokendb-0802-all-min0chars'!F4</f>
        <v>0</v>
      </c>
      <c r="G4" s="13">
        <f>'tokendb-0808-all-min0chars'!G4-'tokendb-0802-all-min0chars'!G4</f>
        <v>0</v>
      </c>
    </row>
    <row r="5" spans="2:7">
      <c r="B5" s="14" t="s">
        <v>10</v>
      </c>
      <c r="C5" s="15">
        <f>'tokendb-0808-all-min0chars'!C5-'tokendb-0802-all-min0chars'!C5</f>
        <v>5</v>
      </c>
      <c r="D5" s="15">
        <f>'tokendb-0808-all-min0chars'!D5-'tokendb-0802-all-min0chars'!D5</f>
        <v>1017</v>
      </c>
      <c r="E5" s="15">
        <f>'tokendb-0808-all-min0chars'!E5-'tokendb-0802-all-min0chars'!E5</f>
        <v>38746</v>
      </c>
      <c r="F5" s="15">
        <f>'tokendb-0808-all-min0chars'!F5-'tokendb-0802-all-min0chars'!F5</f>
        <v>407748</v>
      </c>
      <c r="G5" s="16">
        <f>'tokendb-0808-all-min0chars'!G5-'tokendb-0802-all-min0chars'!G5</f>
        <v>1982249</v>
      </c>
    </row>
    <row r="6" spans="2:7">
      <c r="B6" s="14" t="s">
        <v>11</v>
      </c>
      <c r="C6" s="15">
        <f>'tokendb-0808-all-min0chars'!C6-'tokendb-0802-all-min0chars'!C6</f>
        <v>1</v>
      </c>
      <c r="D6" s="15">
        <f>'tokendb-0808-all-min0chars'!D6-'tokendb-0802-all-min0chars'!D6</f>
        <v>142</v>
      </c>
      <c r="E6" s="15">
        <f>'tokendb-0808-all-min0chars'!E6-'tokendb-0802-all-min0chars'!E6</f>
        <v>8559</v>
      </c>
      <c r="F6" s="15">
        <f>'tokendb-0808-all-min0chars'!F6-'tokendb-0802-all-min0chars'!F6</f>
        <v>63047</v>
      </c>
      <c r="G6" s="16">
        <f>'tokendb-0808-all-min0chars'!G6-'tokendb-0802-all-min0chars'!G6</f>
        <v>303652</v>
      </c>
    </row>
    <row r="7" spans="2:7">
      <c r="B7" s="14" t="s">
        <v>12</v>
      </c>
      <c r="C7" s="15">
        <f>'tokendb-0808-all-min0chars'!C7-'tokendb-0802-all-min0chars'!C7</f>
        <v>7</v>
      </c>
      <c r="D7" s="15">
        <f>'tokendb-0808-all-min0chars'!D7-'tokendb-0802-all-min0chars'!D7</f>
        <v>754</v>
      </c>
      <c r="E7" s="15">
        <f>'tokendb-0808-all-min0chars'!E7-'tokendb-0802-all-min0chars'!E7</f>
        <v>68242</v>
      </c>
      <c r="F7" s="15">
        <f>'tokendb-0808-all-min0chars'!F7-'tokendb-0802-all-min0chars'!F7</f>
        <v>669103</v>
      </c>
      <c r="G7" s="16">
        <f>'tokendb-0808-all-min0chars'!G7-'tokendb-0802-all-min0chars'!G7</f>
        <v>3292239</v>
      </c>
    </row>
    <row r="8" spans="2:7">
      <c r="B8" s="14" t="s">
        <v>13</v>
      </c>
      <c r="C8" s="15">
        <f>'tokendb-0808-all-min0chars'!C8-'tokendb-0802-all-min0chars'!C8</f>
        <v>0</v>
      </c>
      <c r="D8" s="15">
        <f>'tokendb-0808-all-min0chars'!D8-'tokendb-0802-all-min0chars'!D8</f>
        <v>237</v>
      </c>
      <c r="E8" s="15">
        <f>'tokendb-0808-all-min0chars'!E8-'tokendb-0802-all-min0chars'!E8</f>
        <v>-11966</v>
      </c>
      <c r="F8" s="15">
        <f>'tokendb-0808-all-min0chars'!F8-'tokendb-0802-all-min0chars'!F8</f>
        <v>-393868</v>
      </c>
      <c r="G8" s="16">
        <f>'tokendb-0808-all-min0chars'!G8-'tokendb-0802-all-min0chars'!G8</f>
        <v>-1232282</v>
      </c>
    </row>
    <row r="9" spans="2:7">
      <c r="B9" s="14" t="s">
        <v>14</v>
      </c>
      <c r="C9" s="15">
        <f>'tokendb-0808-all-min0chars'!C9-'tokendb-0802-all-min0chars'!C9</f>
        <v>1</v>
      </c>
      <c r="D9" s="15">
        <f>'tokendb-0808-all-min0chars'!D9-'tokendb-0802-all-min0chars'!D9</f>
        <v>38</v>
      </c>
      <c r="E9" s="15">
        <f>'tokendb-0808-all-min0chars'!E9-'tokendb-0802-all-min0chars'!E9</f>
        <v>-1774</v>
      </c>
      <c r="F9" s="15">
        <f>'tokendb-0808-all-min0chars'!F9-'tokendb-0802-all-min0chars'!F9</f>
        <v>-32498</v>
      </c>
      <c r="G9" s="16">
        <f>'tokendb-0808-all-min0chars'!G9-'tokendb-0802-all-min0chars'!G9</f>
        <v>-106898</v>
      </c>
    </row>
    <row r="10" spans="2:7">
      <c r="B10" s="14" t="s">
        <v>15</v>
      </c>
      <c r="C10" s="15">
        <f>'tokendb-0808-all-min0chars'!C10-'tokendb-0802-all-min0chars'!C10</f>
        <v>0</v>
      </c>
      <c r="D10" s="15">
        <f>'tokendb-0808-all-min0chars'!D10-'tokendb-0802-all-min0chars'!D10</f>
        <v>0</v>
      </c>
      <c r="E10" s="15">
        <f>'tokendb-0808-all-min0chars'!E10-'tokendb-0802-all-min0chars'!E10</f>
        <v>0</v>
      </c>
      <c r="F10" s="15">
        <f>'tokendb-0808-all-min0chars'!F10-'tokendb-0802-all-min0chars'!F10</f>
        <v>0</v>
      </c>
      <c r="G10" s="16">
        <f>'tokendb-0808-all-min0chars'!G10-'tokendb-0802-all-min0chars'!G10</f>
        <v>0</v>
      </c>
    </row>
    <row r="11" spans="2:7">
      <c r="B11" s="14" t="s">
        <v>16</v>
      </c>
      <c r="C11" s="15">
        <f>'tokendb-0808-all-min0chars'!C11-'tokendb-0802-all-min0chars'!C11</f>
        <v>0</v>
      </c>
      <c r="D11" s="15">
        <f>'tokendb-0808-all-min0chars'!D11-'tokendb-0802-all-min0chars'!D11</f>
        <v>0</v>
      </c>
      <c r="E11" s="15">
        <f>'tokendb-0808-all-min0chars'!E11-'tokendb-0802-all-min0chars'!E11</f>
        <v>-2</v>
      </c>
      <c r="F11" s="15">
        <f>'tokendb-0808-all-min0chars'!F11-'tokendb-0802-all-min0chars'!F11</f>
        <v>-2</v>
      </c>
      <c r="G11" s="16">
        <f>'tokendb-0808-all-min0chars'!G11-'tokendb-0802-all-min0chars'!G11</f>
        <v>-6</v>
      </c>
    </row>
    <row r="12" spans="2:7">
      <c r="B12" s="14" t="s">
        <v>17</v>
      </c>
      <c r="C12" s="15">
        <f>'tokendb-0808-all-min0chars'!C12-'tokendb-0802-all-min0chars'!C12</f>
        <v>14</v>
      </c>
      <c r="D12" s="15">
        <f>'tokendb-0808-all-min0chars'!D12-'tokendb-0802-all-min0chars'!D12</f>
        <v>1866</v>
      </c>
      <c r="E12" s="15">
        <f>'tokendb-0808-all-min0chars'!E12-'tokendb-0802-all-min0chars'!E12</f>
        <v>93449</v>
      </c>
      <c r="F12" s="15">
        <f>'tokendb-0808-all-min0chars'!F12-'tokendb-0802-all-min0chars'!F12</f>
        <v>1059423</v>
      </c>
      <c r="G12" s="16">
        <f>'tokendb-0808-all-min0chars'!G12-'tokendb-0802-all-min0chars'!G12</f>
        <v>5174179</v>
      </c>
    </row>
    <row r="13" spans="2:7">
      <c r="B13" s="14" t="s">
        <v>18</v>
      </c>
      <c r="C13" s="15">
        <f>'tokendb-0808-all-min0chars'!C13-'tokendb-0802-all-min0chars'!C13</f>
        <v>0</v>
      </c>
      <c r="D13" s="15">
        <f>'tokendb-0808-all-min0chars'!D13-'tokendb-0802-all-min0chars'!D13</f>
        <v>-8</v>
      </c>
      <c r="E13" s="15">
        <f>'tokendb-0808-all-min0chars'!E13-'tokendb-0802-all-min0chars'!E13</f>
        <v>1371</v>
      </c>
      <c r="F13" s="15">
        <f>'tokendb-0808-all-min0chars'!F13-'tokendb-0802-all-min0chars'!F13</f>
        <v>-12093</v>
      </c>
      <c r="G13" s="16">
        <f>'tokendb-0808-all-min0chars'!G13-'tokendb-0802-all-min0chars'!G13</f>
        <v>-32749</v>
      </c>
    </row>
    <row r="14" spans="2:7">
      <c r="B14" s="14" t="s">
        <v>19</v>
      </c>
      <c r="C14" s="15">
        <f>'tokendb-0808-all-min0chars'!C14-'tokendb-0802-all-min0chars'!C14</f>
        <v>2</v>
      </c>
      <c r="D14" s="15">
        <f>'tokendb-0808-all-min0chars'!D14-'tokendb-0802-all-min0chars'!D14</f>
        <v>19</v>
      </c>
      <c r="E14" s="15">
        <f>'tokendb-0808-all-min0chars'!E14-'tokendb-0802-all-min0chars'!E14</f>
        <v>45</v>
      </c>
      <c r="F14" s="15">
        <f>'tokendb-0808-all-min0chars'!F14-'tokendb-0802-all-min0chars'!F14</f>
        <v>-907</v>
      </c>
      <c r="G14" s="16">
        <f>'tokendb-0808-all-min0chars'!G14-'tokendb-0802-all-min0chars'!G14</f>
        <v>-2918</v>
      </c>
    </row>
    <row r="15" spans="2:7">
      <c r="B15" s="14" t="s">
        <v>20</v>
      </c>
      <c r="C15" s="15">
        <f>'tokendb-0808-all-min0chars'!C15-'tokendb-0802-all-min0chars'!C15</f>
        <v>11</v>
      </c>
      <c r="D15" s="15">
        <f>'tokendb-0808-all-min0chars'!D15-'tokendb-0802-all-min0chars'!D15</f>
        <v>220</v>
      </c>
      <c r="E15" s="15">
        <f>'tokendb-0808-all-min0chars'!E15-'tokendb-0802-all-min0chars'!E15</f>
        <v>7571</v>
      </c>
      <c r="F15" s="15">
        <f>'tokendb-0808-all-min0chars'!F15-'tokendb-0802-all-min0chars'!F15</f>
        <v>84829</v>
      </c>
      <c r="G15" s="16">
        <f>'tokendb-0808-all-min0chars'!G15-'tokendb-0802-all-min0chars'!G15</f>
        <v>379661</v>
      </c>
    </row>
    <row r="16" spans="2:7">
      <c r="B16" s="14" t="s">
        <v>21</v>
      </c>
      <c r="C16" s="15">
        <f>'tokendb-0808-all-min0chars'!C16-'tokendb-0802-all-min0chars'!C16</f>
        <v>0</v>
      </c>
      <c r="D16" s="15">
        <f>'tokendb-0808-all-min0chars'!D16-'tokendb-0802-all-min0chars'!D16</f>
        <v>0</v>
      </c>
      <c r="E16" s="15">
        <f>'tokendb-0808-all-min0chars'!E16-'tokendb-0802-all-min0chars'!E16</f>
        <v>0</v>
      </c>
      <c r="F16" s="15">
        <f>'tokendb-0808-all-min0chars'!F16-'tokendb-0802-all-min0chars'!F16</f>
        <v>0</v>
      </c>
      <c r="G16" s="16">
        <f>'tokendb-0808-all-min0chars'!G16-'tokendb-0802-all-min0chars'!G16</f>
        <v>0</v>
      </c>
    </row>
    <row r="17" spans="2:7">
      <c r="B17" s="14" t="s">
        <v>22</v>
      </c>
      <c r="C17" s="15">
        <f>'tokendb-0808-all-min0chars'!C17-'tokendb-0802-all-min0chars'!C17</f>
        <v>413</v>
      </c>
      <c r="D17" s="15">
        <f>'tokendb-0808-all-min0chars'!D17-'tokendb-0802-all-min0chars'!D17</f>
        <v>45094</v>
      </c>
      <c r="E17" s="15">
        <f>'tokendb-0808-all-min0chars'!E17-'tokendb-0802-all-min0chars'!E17</f>
        <v>3765844</v>
      </c>
      <c r="F17" s="15">
        <f>'tokendb-0808-all-min0chars'!F17-'tokendb-0802-all-min0chars'!F17</f>
        <v>37620541</v>
      </c>
      <c r="G17" s="16">
        <f>'tokendb-0808-all-min0chars'!G17-'tokendb-0802-all-min0chars'!G17</f>
        <v>183476298</v>
      </c>
    </row>
    <row r="18" spans="2:7">
      <c r="B18" s="14" t="s">
        <v>23</v>
      </c>
      <c r="C18" s="15">
        <f>'tokendb-0808-all-min0chars'!C18-'tokendb-0802-all-min0chars'!C18</f>
        <v>314</v>
      </c>
      <c r="D18" s="15">
        <f>'tokendb-0808-all-min0chars'!D18-'tokendb-0802-all-min0chars'!D18</f>
        <v>34765</v>
      </c>
      <c r="E18" s="15">
        <f>'tokendb-0808-all-min0chars'!E18-'tokendb-0802-all-min0chars'!E18</f>
        <v>2950879</v>
      </c>
      <c r="F18" s="15">
        <f>'tokendb-0808-all-min0chars'!F18-'tokendb-0802-all-min0chars'!F18</f>
        <v>29267969</v>
      </c>
      <c r="G18" s="16">
        <f>'tokendb-0808-all-min0chars'!G18-'tokendb-0802-all-min0chars'!G18</f>
        <v>142617081</v>
      </c>
    </row>
    <row r="19" spans="2:7">
      <c r="B19" s="14" t="s">
        <v>24</v>
      </c>
      <c r="C19" s="15">
        <f>'tokendb-0808-all-min0chars'!C19-'tokendb-0802-all-min0chars'!C19</f>
        <v>56</v>
      </c>
      <c r="D19" s="15">
        <f>'tokendb-0808-all-min0chars'!D19-'tokendb-0802-all-min0chars'!D19</f>
        <v>6110</v>
      </c>
      <c r="E19" s="15">
        <f>'tokendb-0808-all-min0chars'!E19-'tokendb-0802-all-min0chars'!E19</f>
        <v>507056</v>
      </c>
      <c r="F19" s="15">
        <f>'tokendb-0808-all-min0chars'!F19-'tokendb-0802-all-min0chars'!F19</f>
        <v>5141184</v>
      </c>
      <c r="G19" s="16">
        <f>'tokendb-0808-all-min0chars'!G19-'tokendb-0802-all-min0chars'!G19</f>
        <v>24950726</v>
      </c>
    </row>
    <row r="20" spans="2:7">
      <c r="B20" s="14" t="s">
        <v>25</v>
      </c>
      <c r="C20" s="15">
        <f>'tokendb-0808-all-min0chars'!C20-'tokendb-0802-all-min0chars'!C20</f>
        <v>3</v>
      </c>
      <c r="D20" s="15">
        <f>'tokendb-0808-all-min0chars'!D20-'tokendb-0802-all-min0chars'!D20</f>
        <v>316</v>
      </c>
      <c r="E20" s="15">
        <f>'tokendb-0808-all-min0chars'!E20-'tokendb-0802-all-min0chars'!E20</f>
        <v>26402</v>
      </c>
      <c r="F20" s="15">
        <f>'tokendb-0808-all-min0chars'!F20-'tokendb-0802-all-min0chars'!F20</f>
        <v>301443</v>
      </c>
      <c r="G20" s="16">
        <f>'tokendb-0808-all-min0chars'!G20-'tokendb-0802-all-min0chars'!G20</f>
        <v>1255480</v>
      </c>
    </row>
    <row r="21" spans="2:7">
      <c r="B21" s="14" t="s">
        <v>26</v>
      </c>
      <c r="C21" s="15">
        <f>'tokendb-0808-all-min0chars'!C21-'tokendb-0802-all-min0chars'!C21</f>
        <v>0</v>
      </c>
      <c r="D21" s="15">
        <f>'tokendb-0808-all-min0chars'!D21-'tokendb-0802-all-min0chars'!D21</f>
        <v>0</v>
      </c>
      <c r="E21" s="15">
        <f>'tokendb-0808-all-min0chars'!E21-'tokendb-0802-all-min0chars'!E21</f>
        <v>0</v>
      </c>
      <c r="F21" s="15">
        <f>'tokendb-0808-all-min0chars'!F21-'tokendb-0802-all-min0chars'!F21</f>
        <v>0</v>
      </c>
      <c r="G21" s="16">
        <f>'tokendb-0808-all-min0chars'!G21-'tokendb-0802-all-min0chars'!G21</f>
        <v>0</v>
      </c>
    </row>
    <row r="22" spans="2:7">
      <c r="B22" s="14" t="s">
        <v>27</v>
      </c>
      <c r="C22" s="15">
        <f>'tokendb-0808-all-min0chars'!C22-'tokendb-0802-all-min0chars'!C22</f>
        <v>0</v>
      </c>
      <c r="D22" s="15">
        <f>'tokendb-0808-all-min0chars'!D22-'tokendb-0802-all-min0chars'!D22</f>
        <v>0</v>
      </c>
      <c r="E22" s="15">
        <f>'tokendb-0808-all-min0chars'!E22-'tokendb-0802-all-min0chars'!E22</f>
        <v>0</v>
      </c>
      <c r="F22" s="15">
        <f>'tokendb-0808-all-min0chars'!F22-'tokendb-0802-all-min0chars'!F22</f>
        <v>0</v>
      </c>
      <c r="G22" s="16">
        <f>'tokendb-0808-all-min0chars'!G22-'tokendb-0802-all-min0chars'!G22</f>
        <v>0</v>
      </c>
    </row>
    <row r="23" spans="2:7">
      <c r="B23" s="14" t="s">
        <v>28</v>
      </c>
      <c r="C23" s="15">
        <f>'tokendb-0808-all-min0chars'!C23-'tokendb-0802-all-min0chars'!C23</f>
        <v>0</v>
      </c>
      <c r="D23" s="15">
        <f>'tokendb-0808-all-min0chars'!D23-'tokendb-0802-all-min0chars'!D23</f>
        <v>0</v>
      </c>
      <c r="E23" s="15">
        <f>'tokendb-0808-all-min0chars'!E23-'tokendb-0802-all-min0chars'!E23</f>
        <v>0</v>
      </c>
      <c r="F23" s="15">
        <f>'tokendb-0808-all-min0chars'!F23-'tokendb-0802-all-min0chars'!F23</f>
        <v>0</v>
      </c>
      <c r="G23" s="16">
        <f>'tokendb-0808-all-min0chars'!G23-'tokendb-0802-all-min0chars'!G23</f>
        <v>0</v>
      </c>
    </row>
    <row r="24" spans="2:7">
      <c r="B24" s="14" t="s">
        <v>29</v>
      </c>
      <c r="C24" s="15">
        <f>'tokendb-0808-all-min0chars'!C24-'tokendb-0802-all-min0chars'!C24</f>
        <v>0</v>
      </c>
      <c r="D24" s="15">
        <f>'tokendb-0808-all-min0chars'!D24-'tokendb-0802-all-min0chars'!D24</f>
        <v>0</v>
      </c>
      <c r="E24" s="15">
        <f>'tokendb-0808-all-min0chars'!E24-'tokendb-0802-all-min0chars'!E24</f>
        <v>0</v>
      </c>
      <c r="F24" s="15">
        <f>'tokendb-0808-all-min0chars'!F24-'tokendb-0802-all-min0chars'!F24</f>
        <v>0</v>
      </c>
      <c r="G24" s="16">
        <f>'tokendb-0808-all-min0chars'!G24-'tokendb-0802-all-min0chars'!G24</f>
        <v>0</v>
      </c>
    </row>
    <row r="25" spans="2:7">
      <c r="B25" s="14" t="s">
        <v>30</v>
      </c>
      <c r="C25" s="15">
        <f>'tokendb-0808-all-min0chars'!C25-'tokendb-0802-all-min0chars'!C25</f>
        <v>0</v>
      </c>
      <c r="D25" s="15">
        <f>'tokendb-0808-all-min0chars'!D25-'tokendb-0802-all-min0chars'!D25</f>
        <v>0</v>
      </c>
      <c r="E25" s="15">
        <f>'tokendb-0808-all-min0chars'!E25-'tokendb-0802-all-min0chars'!E25</f>
        <v>0</v>
      </c>
      <c r="F25" s="15">
        <f>'tokendb-0808-all-min0chars'!F25-'tokendb-0802-all-min0chars'!F25</f>
        <v>0</v>
      </c>
      <c r="G25" s="16">
        <f>'tokendb-0808-all-min0chars'!G25-'tokendb-0802-all-min0chars'!G25</f>
        <v>0</v>
      </c>
    </row>
    <row r="26" spans="2:7">
      <c r="B26" s="14" t="s">
        <v>31</v>
      </c>
      <c r="C26" s="15">
        <f>'tokendb-0808-all-min0chars'!C26-'tokendb-0802-all-min0chars'!C26</f>
        <v>0</v>
      </c>
      <c r="D26" s="15">
        <f>'tokendb-0808-all-min0chars'!D26-'tokendb-0802-all-min0chars'!D26</f>
        <v>0</v>
      </c>
      <c r="E26" s="15">
        <f>'tokendb-0808-all-min0chars'!E26-'tokendb-0802-all-min0chars'!E26</f>
        <v>0</v>
      </c>
      <c r="F26" s="15">
        <f>'tokendb-0808-all-min0chars'!F26-'tokendb-0802-all-min0chars'!F26</f>
        <v>0</v>
      </c>
      <c r="G26" s="16">
        <f>'tokendb-0808-all-min0chars'!G26-'tokendb-0802-all-min0chars'!G26</f>
        <v>0</v>
      </c>
    </row>
    <row r="27" spans="2:7">
      <c r="B27" s="14" t="s">
        <v>32</v>
      </c>
      <c r="C27" s="15">
        <f>'tokendb-0808-all-min0chars'!C27-'tokendb-0802-all-min0chars'!C27</f>
        <v>0</v>
      </c>
      <c r="D27" s="15">
        <f>'tokendb-0808-all-min0chars'!D27-'tokendb-0802-all-min0chars'!D27</f>
        <v>-3</v>
      </c>
      <c r="E27" s="15">
        <f>'tokendb-0808-all-min0chars'!E27-'tokendb-0802-all-min0chars'!E27</f>
        <v>-1</v>
      </c>
      <c r="F27" s="15">
        <f>'tokendb-0808-all-min0chars'!F27-'tokendb-0802-all-min0chars'!F27</f>
        <v>-6</v>
      </c>
      <c r="G27" s="16">
        <f>'tokendb-0808-all-min0chars'!G27-'tokendb-0802-all-min0chars'!G27</f>
        <v>-23</v>
      </c>
    </row>
    <row r="28" spans="2:7">
      <c r="B28" s="14" t="s">
        <v>33</v>
      </c>
      <c r="C28" s="15">
        <f>'tokendb-0808-all-min0chars'!C28-'tokendb-0802-all-min0chars'!C28</f>
        <v>0</v>
      </c>
      <c r="D28" s="15">
        <f>'tokendb-0808-all-min0chars'!D28-'tokendb-0802-all-min0chars'!D28</f>
        <v>0</v>
      </c>
      <c r="E28" s="15">
        <f>'tokendb-0808-all-min0chars'!E28-'tokendb-0802-all-min0chars'!E28</f>
        <v>0</v>
      </c>
      <c r="F28" s="15">
        <f>'tokendb-0808-all-min0chars'!F28-'tokendb-0802-all-min0chars'!F28</f>
        <v>0</v>
      </c>
      <c r="G28" s="16">
        <f>'tokendb-0808-all-min0chars'!G28-'tokendb-0802-all-min0chars'!G28</f>
        <v>0</v>
      </c>
    </row>
    <row r="29" spans="2:7">
      <c r="B29" s="14" t="s">
        <v>34</v>
      </c>
      <c r="C29" s="15">
        <f>'tokendb-0808-all-min0chars'!C29-'tokendb-0802-all-min0chars'!C29</f>
        <v>0</v>
      </c>
      <c r="D29" s="15">
        <f>'tokendb-0808-all-min0chars'!D29-'tokendb-0802-all-min0chars'!D29</f>
        <v>1</v>
      </c>
      <c r="E29" s="15">
        <f>'tokendb-0808-all-min0chars'!E29-'tokendb-0802-all-min0chars'!E29</f>
        <v>-7</v>
      </c>
      <c r="F29" s="15">
        <f>'tokendb-0808-all-min0chars'!F29-'tokendb-0802-all-min0chars'!F29</f>
        <v>55</v>
      </c>
      <c r="G29" s="16">
        <f>'tokendb-0808-all-min0chars'!G29-'tokendb-0802-all-min0chars'!G29</f>
        <v>-6</v>
      </c>
    </row>
    <row r="30" spans="2:7">
      <c r="B30" s="14" t="s">
        <v>35</v>
      </c>
      <c r="C30" s="15">
        <v>2</v>
      </c>
      <c r="D30" s="15">
        <v>55</v>
      </c>
      <c r="E30" s="15">
        <v>5033</v>
      </c>
      <c r="F30" s="15">
        <v>59107</v>
      </c>
      <c r="G30" s="16">
        <v>259613</v>
      </c>
    </row>
    <row r="31" spans="2:7">
      <c r="B31" s="14" t="s">
        <v>36</v>
      </c>
      <c r="C31" s="15">
        <v>4</v>
      </c>
      <c r="D31" s="15">
        <v>434</v>
      </c>
      <c r="E31" s="15">
        <v>17746</v>
      </c>
      <c r="F31" s="15">
        <v>189840</v>
      </c>
      <c r="G31" s="16">
        <v>854624</v>
      </c>
    </row>
    <row r="32" spans="2:7">
      <c r="B32" s="17" t="s">
        <v>37</v>
      </c>
      <c r="C32" s="18">
        <v>1</v>
      </c>
      <c r="D32" s="18">
        <v>14</v>
      </c>
      <c r="E32" s="18">
        <v>648</v>
      </c>
      <c r="F32" s="18">
        <v>8210</v>
      </c>
      <c r="G32" s="19">
        <v>40930</v>
      </c>
    </row>
    <row r="34" spans="2:7">
      <c r="B34" s="3" t="s">
        <v>38</v>
      </c>
      <c r="C34" s="8">
        <f>SUM(C4:C32)</f>
        <v>834</v>
      </c>
      <c r="D34" s="8">
        <f t="shared" ref="D34:G34" si="0">SUM(D4:D32)</f>
        <v>91071</v>
      </c>
      <c r="E34" s="8">
        <f t="shared" si="0"/>
        <v>7477841</v>
      </c>
      <c r="F34" s="8">
        <f t="shared" si="0"/>
        <v>74433125</v>
      </c>
      <c r="G34" s="8">
        <f t="shared" si="0"/>
        <v>363211850</v>
      </c>
    </row>
  </sheetData>
  <sheetCalcPr fullCalcOnLoad="1"/>
  <mergeCells count="1">
    <mergeCell ref="C1:G1"/>
  </mergeCells>
  <phoneticPr fontId="1" type="noConversion"/>
  <pageMargins left="0.35629921259842523" right="0.35629921259842523" top="0.40944881889763785" bottom="0.40944881889763785" header="0" footer="0"/>
  <pageSetup paperSize="0" scale="95" orientation="portrait" horizontalDpi="4294967292" verticalDpi="4294967292"/>
  <colBreaks count="1" manualBreakCount="1">
    <brk id="7" max="1048575" man="1" pt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34"/>
  <sheetViews>
    <sheetView workbookViewId="0">
      <selection activeCell="B3" sqref="B3"/>
    </sheetView>
  </sheetViews>
  <sheetFormatPr baseColWidth="10" defaultRowHeight="13"/>
  <cols>
    <col min="3" max="3" width="8" customWidth="1"/>
    <col min="4" max="4" width="10.42578125" customWidth="1"/>
    <col min="5" max="5" width="12.140625" customWidth="1"/>
    <col min="6" max="6" width="13.85546875" customWidth="1"/>
    <col min="7" max="7" width="15" customWidth="1"/>
  </cols>
  <sheetData>
    <row r="1" spans="1:7" ht="18">
      <c r="A1" s="1"/>
      <c r="B1" s="9" t="s">
        <v>42</v>
      </c>
      <c r="C1" s="10" t="s">
        <v>0</v>
      </c>
      <c r="D1" s="10"/>
      <c r="E1" s="10"/>
      <c r="F1" s="10"/>
      <c r="G1" s="10"/>
    </row>
    <row r="2" spans="1:7" ht="16">
      <c r="A2" s="1"/>
      <c r="B2" s="4" t="s">
        <v>2</v>
      </c>
      <c r="C2" s="5" t="s">
        <v>40</v>
      </c>
      <c r="D2" s="5" t="s">
        <v>41</v>
      </c>
      <c r="E2" s="5" t="s">
        <v>41</v>
      </c>
      <c r="F2" s="5" t="s">
        <v>41</v>
      </c>
      <c r="G2" s="5" t="s">
        <v>41</v>
      </c>
    </row>
    <row r="3" spans="1:7" ht="16">
      <c r="A3" s="1"/>
      <c r="B3" s="6"/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ht="16">
      <c r="A4" s="1"/>
      <c r="B4" s="11" t="s">
        <v>9</v>
      </c>
      <c r="C4" s="12">
        <f>'tokendb-0808-all-min300chars'!C4-'tokendb-0802-all-min300chars'!C4</f>
        <v>0</v>
      </c>
      <c r="D4" s="12">
        <f>'tokendb-0808-all-min300chars'!D4-'tokendb-0802-all-min300chars'!D4</f>
        <v>0</v>
      </c>
      <c r="E4" s="12">
        <f>'tokendb-0808-all-min300chars'!E4-'tokendb-0802-all-min300chars'!E4</f>
        <v>0</v>
      </c>
      <c r="F4" s="12">
        <f>'tokendb-0808-all-min300chars'!F4-'tokendb-0802-all-min300chars'!F4</f>
        <v>0</v>
      </c>
      <c r="G4" s="13">
        <f>'tokendb-0808-all-min300chars'!G4-'tokendb-0802-all-min300chars'!G4</f>
        <v>0</v>
      </c>
    </row>
    <row r="5" spans="1:7" ht="16">
      <c r="A5" s="1"/>
      <c r="B5" s="14" t="s">
        <v>10</v>
      </c>
      <c r="C5" s="15">
        <f>'tokendb-0808-all-min300chars'!C5-'tokendb-0802-all-min300chars'!C5</f>
        <v>5</v>
      </c>
      <c r="D5" s="15">
        <f>'tokendb-0808-all-min300chars'!D5-'tokendb-0802-all-min300chars'!D5</f>
        <v>640</v>
      </c>
      <c r="E5" s="15">
        <f>'tokendb-0808-all-min300chars'!E5-'tokendb-0802-all-min300chars'!E5</f>
        <v>37676</v>
      </c>
      <c r="F5" s="15">
        <f>'tokendb-0808-all-min300chars'!F5-'tokendb-0802-all-min300chars'!F5</f>
        <v>397316</v>
      </c>
      <c r="G5" s="16">
        <f>'tokendb-0808-all-min300chars'!G5-'tokendb-0802-all-min300chars'!G5</f>
        <v>1942673</v>
      </c>
    </row>
    <row r="6" spans="1:7" ht="16">
      <c r="A6" s="1"/>
      <c r="B6" s="14" t="s">
        <v>11</v>
      </c>
      <c r="C6" s="15">
        <f>'tokendb-0808-all-min300chars'!C6-'tokendb-0802-all-min300chars'!C6</f>
        <v>1</v>
      </c>
      <c r="D6" s="15">
        <f>'tokendb-0808-all-min300chars'!D6-'tokendb-0802-all-min300chars'!D6</f>
        <v>62</v>
      </c>
      <c r="E6" s="15">
        <f>'tokendb-0808-all-min300chars'!E6-'tokendb-0802-all-min300chars'!E6</f>
        <v>8424</v>
      </c>
      <c r="F6" s="15">
        <f>'tokendb-0808-all-min300chars'!F6-'tokendb-0802-all-min300chars'!F6</f>
        <v>61903</v>
      </c>
      <c r="G6" s="16">
        <f>'tokendb-0808-all-min300chars'!G6-'tokendb-0802-all-min300chars'!G6</f>
        <v>299398</v>
      </c>
    </row>
    <row r="7" spans="1:7" ht="16">
      <c r="A7" s="1"/>
      <c r="B7" s="14" t="s">
        <v>12</v>
      </c>
      <c r="C7" s="15">
        <f>'tokendb-0808-all-min300chars'!C7-'tokendb-0802-all-min300chars'!C7</f>
        <v>7</v>
      </c>
      <c r="D7" s="15">
        <f>'tokendb-0808-all-min300chars'!D7-'tokendb-0802-all-min300chars'!D7</f>
        <v>515</v>
      </c>
      <c r="E7" s="15">
        <f>'tokendb-0808-all-min300chars'!E7-'tokendb-0802-all-min300chars'!E7</f>
        <v>67847</v>
      </c>
      <c r="F7" s="15">
        <f>'tokendb-0808-all-min300chars'!F7-'tokendb-0802-all-min300chars'!F7</f>
        <v>666373</v>
      </c>
      <c r="G7" s="16">
        <f>'tokendb-0808-all-min300chars'!G7-'tokendb-0802-all-min300chars'!G7</f>
        <v>3279784</v>
      </c>
    </row>
    <row r="8" spans="1:7" ht="16">
      <c r="A8" s="1"/>
      <c r="B8" s="14" t="s">
        <v>13</v>
      </c>
      <c r="C8" s="15">
        <f>'tokendb-0808-all-min300chars'!C8-'tokendb-0802-all-min300chars'!C8</f>
        <v>0</v>
      </c>
      <c r="D8" s="15">
        <f>'tokendb-0808-all-min300chars'!D8-'tokendb-0802-all-min300chars'!D8</f>
        <v>-19</v>
      </c>
      <c r="E8" s="15">
        <f>'tokendb-0808-all-min300chars'!E8-'tokendb-0802-all-min300chars'!E8</f>
        <v>-11692</v>
      </c>
      <c r="F8" s="15">
        <f>'tokendb-0808-all-min300chars'!F8-'tokendb-0802-all-min300chars'!F8</f>
        <v>-394454</v>
      </c>
      <c r="G8" s="16">
        <f>'tokendb-0808-all-min300chars'!G8-'tokendb-0802-all-min300chars'!G8</f>
        <v>-1230104</v>
      </c>
    </row>
    <row r="9" spans="1:7" ht="16">
      <c r="A9" s="1"/>
      <c r="B9" s="14" t="s">
        <v>14</v>
      </c>
      <c r="C9" s="15">
        <f>'tokendb-0808-all-min300chars'!C9-'tokendb-0802-all-min300chars'!C9</f>
        <v>1</v>
      </c>
      <c r="D9" s="15">
        <f>'tokendb-0808-all-min300chars'!D9-'tokendb-0802-all-min300chars'!D9</f>
        <v>-141</v>
      </c>
      <c r="E9" s="15">
        <f>'tokendb-0808-all-min300chars'!E9-'tokendb-0802-all-min300chars'!E9</f>
        <v>-1491</v>
      </c>
      <c r="F9" s="15">
        <f>'tokendb-0808-all-min300chars'!F9-'tokendb-0802-all-min300chars'!F9</f>
        <v>-29841</v>
      </c>
      <c r="G9" s="16">
        <f>'tokendb-0808-all-min300chars'!G9-'tokendb-0802-all-min300chars'!G9</f>
        <v>-97700</v>
      </c>
    </row>
    <row r="10" spans="1:7" ht="16">
      <c r="A10" s="1"/>
      <c r="B10" s="14" t="s">
        <v>15</v>
      </c>
      <c r="C10" s="15">
        <f>'tokendb-0808-all-min300chars'!C10-'tokendb-0802-all-min300chars'!C10</f>
        <v>0</v>
      </c>
      <c r="D10" s="15">
        <f>'tokendb-0808-all-min300chars'!D10-'tokendb-0802-all-min300chars'!D10</f>
        <v>0</v>
      </c>
      <c r="E10" s="15">
        <f>'tokendb-0808-all-min300chars'!E10-'tokendb-0802-all-min300chars'!E10</f>
        <v>0</v>
      </c>
      <c r="F10" s="15">
        <f>'tokendb-0808-all-min300chars'!F10-'tokendb-0802-all-min300chars'!F10</f>
        <v>0</v>
      </c>
      <c r="G10" s="16">
        <f>'tokendb-0808-all-min300chars'!G10-'tokendb-0802-all-min300chars'!G10</f>
        <v>0</v>
      </c>
    </row>
    <row r="11" spans="1:7" ht="16">
      <c r="A11" s="1"/>
      <c r="B11" s="14" t="s">
        <v>16</v>
      </c>
      <c r="C11" s="15">
        <f>'tokendb-0808-all-min300chars'!C11-'tokendb-0802-all-min300chars'!C11</f>
        <v>0</v>
      </c>
      <c r="D11" s="15">
        <f>'tokendb-0808-all-min300chars'!D11-'tokendb-0802-all-min300chars'!D11</f>
        <v>0</v>
      </c>
      <c r="E11" s="15">
        <f>'tokendb-0808-all-min300chars'!E11-'tokendb-0802-all-min300chars'!E11</f>
        <v>0</v>
      </c>
      <c r="F11" s="15">
        <f>'tokendb-0808-all-min300chars'!F11-'tokendb-0802-all-min300chars'!F11</f>
        <v>0</v>
      </c>
      <c r="G11" s="16">
        <f>'tokendb-0808-all-min300chars'!G11-'tokendb-0802-all-min300chars'!G11</f>
        <v>0</v>
      </c>
    </row>
    <row r="12" spans="1:7" ht="16">
      <c r="A12" s="1"/>
      <c r="B12" s="14" t="s">
        <v>17</v>
      </c>
      <c r="C12" s="15">
        <f>'tokendb-0808-all-min300chars'!C12-'tokendb-0802-all-min300chars'!C12</f>
        <v>14</v>
      </c>
      <c r="D12" s="15">
        <f>'tokendb-0808-all-min300chars'!D12-'tokendb-0802-all-min300chars'!D12</f>
        <v>1170</v>
      </c>
      <c r="E12" s="15">
        <f>'tokendb-0808-all-min300chars'!E12-'tokendb-0802-all-min300chars'!E12</f>
        <v>92439</v>
      </c>
      <c r="F12" s="15">
        <f>'tokendb-0808-all-min300chars'!F12-'tokendb-0802-all-min300chars'!F12</f>
        <v>1051158</v>
      </c>
      <c r="G12" s="16">
        <f>'tokendb-0808-all-min300chars'!G12-'tokendb-0802-all-min300chars'!G12</f>
        <v>5138823</v>
      </c>
    </row>
    <row r="13" spans="1:7" ht="16">
      <c r="A13" s="1"/>
      <c r="B13" s="14" t="s">
        <v>18</v>
      </c>
      <c r="C13" s="15">
        <f>'tokendb-0808-all-min300chars'!C13-'tokendb-0802-all-min300chars'!C13</f>
        <v>0</v>
      </c>
      <c r="D13" s="15">
        <f>'tokendb-0808-all-min300chars'!D13-'tokendb-0802-all-min300chars'!D13</f>
        <v>-8</v>
      </c>
      <c r="E13" s="15">
        <f>'tokendb-0808-all-min300chars'!E13-'tokendb-0802-all-min300chars'!E13</f>
        <v>1272</v>
      </c>
      <c r="F13" s="15">
        <f>'tokendb-0808-all-min300chars'!F13-'tokendb-0802-all-min300chars'!F13</f>
        <v>-12508</v>
      </c>
      <c r="G13" s="16">
        <f>'tokendb-0808-all-min300chars'!G13-'tokendb-0802-all-min300chars'!G13</f>
        <v>-34058</v>
      </c>
    </row>
    <row r="14" spans="1:7" ht="16">
      <c r="A14" s="1"/>
      <c r="B14" s="14" t="s">
        <v>19</v>
      </c>
      <c r="C14" s="15">
        <f>'tokendb-0808-all-min300chars'!C14-'tokendb-0802-all-min300chars'!C14</f>
        <v>2</v>
      </c>
      <c r="D14" s="15">
        <f>'tokendb-0808-all-min300chars'!D14-'tokendb-0802-all-min300chars'!D14</f>
        <v>2</v>
      </c>
      <c r="E14" s="15">
        <f>'tokendb-0808-all-min300chars'!E14-'tokendb-0802-all-min300chars'!E14</f>
        <v>-83</v>
      </c>
      <c r="F14" s="15">
        <f>'tokendb-0808-all-min300chars'!F14-'tokendb-0802-all-min300chars'!F14</f>
        <v>-1320</v>
      </c>
      <c r="G14" s="16">
        <f>'tokendb-0808-all-min300chars'!G14-'tokendb-0802-all-min300chars'!G14</f>
        <v>-4381</v>
      </c>
    </row>
    <row r="15" spans="1:7" ht="16">
      <c r="A15" s="1"/>
      <c r="B15" s="14" t="s">
        <v>20</v>
      </c>
      <c r="C15" s="15">
        <f>'tokendb-0808-all-min300chars'!C15-'tokendb-0802-all-min300chars'!C15</f>
        <v>11</v>
      </c>
      <c r="D15" s="15">
        <f>'tokendb-0808-all-min300chars'!D15-'tokendb-0802-all-min300chars'!D15</f>
        <v>55</v>
      </c>
      <c r="E15" s="15">
        <f>'tokendb-0808-all-min300chars'!E15-'tokendb-0802-all-min300chars'!E15</f>
        <v>7319</v>
      </c>
      <c r="F15" s="15">
        <f>'tokendb-0808-all-min300chars'!F15-'tokendb-0802-all-min300chars'!F15</f>
        <v>83909</v>
      </c>
      <c r="G15" s="16">
        <f>'tokendb-0808-all-min300chars'!G15-'tokendb-0802-all-min300chars'!G15</f>
        <v>376321</v>
      </c>
    </row>
    <row r="16" spans="1:7" ht="16">
      <c r="A16" s="1"/>
      <c r="B16" s="14" t="s">
        <v>21</v>
      </c>
      <c r="C16" s="15">
        <f>'tokendb-0808-all-min300chars'!C16-'tokendb-0802-all-min300chars'!C16</f>
        <v>0</v>
      </c>
      <c r="D16" s="15">
        <f>'tokendb-0808-all-min300chars'!D16-'tokendb-0802-all-min300chars'!D16</f>
        <v>0</v>
      </c>
      <c r="E16" s="15">
        <f>'tokendb-0808-all-min300chars'!E16-'tokendb-0802-all-min300chars'!E16</f>
        <v>0</v>
      </c>
      <c r="F16" s="15">
        <f>'tokendb-0808-all-min300chars'!F16-'tokendb-0802-all-min300chars'!F16</f>
        <v>0</v>
      </c>
      <c r="G16" s="16">
        <f>'tokendb-0808-all-min300chars'!G16-'tokendb-0802-all-min300chars'!G16</f>
        <v>0</v>
      </c>
    </row>
    <row r="17" spans="1:7" ht="16">
      <c r="A17" s="1"/>
      <c r="B17" s="14" t="s">
        <v>22</v>
      </c>
      <c r="C17" s="15">
        <f>'tokendb-0808-all-min300chars'!C17-'tokendb-0802-all-min300chars'!C17</f>
        <v>413</v>
      </c>
      <c r="D17" s="15">
        <f>'tokendb-0808-all-min300chars'!D17-'tokendb-0802-all-min300chars'!D17</f>
        <v>29248</v>
      </c>
      <c r="E17" s="15">
        <f>'tokendb-0808-all-min300chars'!E17-'tokendb-0802-all-min300chars'!E17</f>
        <v>3730034</v>
      </c>
      <c r="F17" s="15">
        <f>'tokendb-0808-all-min300chars'!F17-'tokendb-0802-all-min300chars'!F17</f>
        <v>37313806</v>
      </c>
      <c r="G17" s="16">
        <f>'tokendb-0808-all-min300chars'!G17-'tokendb-0802-all-min300chars'!G17</f>
        <v>182369642</v>
      </c>
    </row>
    <row r="18" spans="1:7" ht="16">
      <c r="A18" s="1"/>
      <c r="B18" s="14" t="s">
        <v>23</v>
      </c>
      <c r="C18" s="15">
        <f>'tokendb-0808-all-min300chars'!C18-'tokendb-0802-all-min300chars'!C18</f>
        <v>314</v>
      </c>
      <c r="D18" s="15">
        <f>'tokendb-0808-all-min300chars'!D18-'tokendb-0802-all-min300chars'!D18</f>
        <v>22595</v>
      </c>
      <c r="E18" s="15">
        <f>'tokendb-0808-all-min300chars'!E18-'tokendb-0802-all-min300chars'!E18</f>
        <v>2921654</v>
      </c>
      <c r="F18" s="15">
        <f>'tokendb-0808-all-min300chars'!F18-'tokendb-0802-all-min300chars'!F18</f>
        <v>29013050</v>
      </c>
      <c r="G18" s="16">
        <f>'tokendb-0808-all-min300chars'!G18-'tokendb-0802-all-min300chars'!G18</f>
        <v>141700020</v>
      </c>
    </row>
    <row r="19" spans="1:7" ht="16">
      <c r="A19" s="1"/>
      <c r="B19" s="14" t="s">
        <v>24</v>
      </c>
      <c r="C19" s="15">
        <f>'tokendb-0808-all-min300chars'!C19-'tokendb-0802-all-min300chars'!C19</f>
        <v>56</v>
      </c>
      <c r="D19" s="15">
        <f>'tokendb-0808-all-min300chars'!D19-'tokendb-0802-all-min300chars'!D19</f>
        <v>4041</v>
      </c>
      <c r="E19" s="15">
        <f>'tokendb-0808-all-min300chars'!E19-'tokendb-0802-all-min300chars'!E19</f>
        <v>502224</v>
      </c>
      <c r="F19" s="15">
        <f>'tokendb-0808-all-min300chars'!F19-'tokendb-0802-all-min300chars'!F19</f>
        <v>5099239</v>
      </c>
      <c r="G19" s="16">
        <f>'tokendb-0808-all-min300chars'!G19-'tokendb-0802-all-min300chars'!G19</f>
        <v>24801834</v>
      </c>
    </row>
    <row r="20" spans="1:7" ht="16">
      <c r="A20" s="1"/>
      <c r="B20" s="14" t="s">
        <v>25</v>
      </c>
      <c r="C20" s="15">
        <f>'tokendb-0808-all-min300chars'!C20-'tokendb-0802-all-min300chars'!C20</f>
        <v>3</v>
      </c>
      <c r="D20" s="15">
        <f>'tokendb-0808-all-min300chars'!D20-'tokendb-0802-all-min300chars'!D20</f>
        <v>196</v>
      </c>
      <c r="E20" s="15">
        <f>'tokendb-0808-all-min300chars'!E20-'tokendb-0802-all-min300chars'!E20</f>
        <v>26268</v>
      </c>
      <c r="F20" s="15">
        <f>'tokendb-0808-all-min300chars'!F20-'tokendb-0802-all-min300chars'!F20</f>
        <v>300470</v>
      </c>
      <c r="G20" s="16">
        <f>'tokendb-0808-all-min300chars'!G20-'tokendb-0802-all-min300chars'!G20</f>
        <v>1251388</v>
      </c>
    </row>
    <row r="21" spans="1:7" ht="16">
      <c r="A21" s="1"/>
      <c r="B21" s="14" t="s">
        <v>26</v>
      </c>
      <c r="C21" s="15">
        <f>'tokendb-0808-all-min300chars'!C21-'tokendb-0802-all-min300chars'!C21</f>
        <v>0</v>
      </c>
      <c r="D21" s="15">
        <f>'tokendb-0808-all-min300chars'!D21-'tokendb-0802-all-min300chars'!D21</f>
        <v>0</v>
      </c>
      <c r="E21" s="15">
        <f>'tokendb-0808-all-min300chars'!E21-'tokendb-0802-all-min300chars'!E21</f>
        <v>0</v>
      </c>
      <c r="F21" s="15">
        <f>'tokendb-0808-all-min300chars'!F21-'tokendb-0802-all-min300chars'!F21</f>
        <v>0</v>
      </c>
      <c r="G21" s="16">
        <f>'tokendb-0808-all-min300chars'!G21-'tokendb-0802-all-min300chars'!G21</f>
        <v>0</v>
      </c>
    </row>
    <row r="22" spans="1:7" ht="16">
      <c r="A22" s="1"/>
      <c r="B22" s="14" t="s">
        <v>27</v>
      </c>
      <c r="C22" s="15">
        <f>'tokendb-0808-all-min300chars'!C22-'tokendb-0802-all-min300chars'!C22</f>
        <v>0</v>
      </c>
      <c r="D22" s="15">
        <f>'tokendb-0808-all-min300chars'!D22-'tokendb-0802-all-min300chars'!D22</f>
        <v>0</v>
      </c>
      <c r="E22" s="15">
        <f>'tokendb-0808-all-min300chars'!E22-'tokendb-0802-all-min300chars'!E22</f>
        <v>0</v>
      </c>
      <c r="F22" s="15">
        <f>'tokendb-0808-all-min300chars'!F22-'tokendb-0802-all-min300chars'!F22</f>
        <v>0</v>
      </c>
      <c r="G22" s="16">
        <f>'tokendb-0808-all-min300chars'!G22-'tokendb-0802-all-min300chars'!G22</f>
        <v>0</v>
      </c>
    </row>
    <row r="23" spans="1:7" ht="16">
      <c r="A23" s="1"/>
      <c r="B23" s="14" t="s">
        <v>28</v>
      </c>
      <c r="C23" s="15">
        <f>'tokendb-0808-all-min300chars'!C23-'tokendb-0802-all-min300chars'!C23</f>
        <v>0</v>
      </c>
      <c r="D23" s="15">
        <f>'tokendb-0808-all-min300chars'!D23-'tokendb-0802-all-min300chars'!D23</f>
        <v>0</v>
      </c>
      <c r="E23" s="15">
        <f>'tokendb-0808-all-min300chars'!E23-'tokendb-0802-all-min300chars'!E23</f>
        <v>0</v>
      </c>
      <c r="F23" s="15">
        <f>'tokendb-0808-all-min300chars'!F23-'tokendb-0802-all-min300chars'!F23</f>
        <v>0</v>
      </c>
      <c r="G23" s="16">
        <f>'tokendb-0808-all-min300chars'!G23-'tokendb-0802-all-min300chars'!G23</f>
        <v>0</v>
      </c>
    </row>
    <row r="24" spans="1:7" ht="16">
      <c r="A24" s="1"/>
      <c r="B24" s="14" t="s">
        <v>29</v>
      </c>
      <c r="C24" s="15">
        <f>'tokendb-0808-all-min300chars'!C24-'tokendb-0802-all-min300chars'!C24</f>
        <v>0</v>
      </c>
      <c r="D24" s="15">
        <f>'tokendb-0808-all-min300chars'!D24-'tokendb-0802-all-min300chars'!D24</f>
        <v>0</v>
      </c>
      <c r="E24" s="15">
        <f>'tokendb-0808-all-min300chars'!E24-'tokendb-0802-all-min300chars'!E24</f>
        <v>0</v>
      </c>
      <c r="F24" s="15">
        <f>'tokendb-0808-all-min300chars'!F24-'tokendb-0802-all-min300chars'!F24</f>
        <v>0</v>
      </c>
      <c r="G24" s="16">
        <f>'tokendb-0808-all-min300chars'!G24-'tokendb-0802-all-min300chars'!G24</f>
        <v>0</v>
      </c>
    </row>
    <row r="25" spans="1:7" ht="16">
      <c r="A25" s="1"/>
      <c r="B25" s="14" t="s">
        <v>30</v>
      </c>
      <c r="C25" s="15">
        <f>'tokendb-0808-all-min300chars'!C25-'tokendb-0802-all-min300chars'!C25</f>
        <v>0</v>
      </c>
      <c r="D25" s="15">
        <f>'tokendb-0808-all-min300chars'!D25-'tokendb-0802-all-min300chars'!D25</f>
        <v>0</v>
      </c>
      <c r="E25" s="15">
        <f>'tokendb-0808-all-min300chars'!E25-'tokendb-0802-all-min300chars'!E25</f>
        <v>0</v>
      </c>
      <c r="F25" s="15">
        <f>'tokendb-0808-all-min300chars'!F25-'tokendb-0802-all-min300chars'!F25</f>
        <v>0</v>
      </c>
      <c r="G25" s="16">
        <f>'tokendb-0808-all-min300chars'!G25-'tokendb-0802-all-min300chars'!G25</f>
        <v>0</v>
      </c>
    </row>
    <row r="26" spans="1:7" ht="16">
      <c r="A26" s="1"/>
      <c r="B26" s="14" t="s">
        <v>31</v>
      </c>
      <c r="C26" s="15">
        <f>'tokendb-0808-all-min300chars'!C26-'tokendb-0802-all-min300chars'!C26</f>
        <v>0</v>
      </c>
      <c r="D26" s="15">
        <f>'tokendb-0808-all-min300chars'!D26-'tokendb-0802-all-min300chars'!D26</f>
        <v>0</v>
      </c>
      <c r="E26" s="15">
        <f>'tokendb-0808-all-min300chars'!E26-'tokendb-0802-all-min300chars'!E26</f>
        <v>0</v>
      </c>
      <c r="F26" s="15">
        <f>'tokendb-0808-all-min300chars'!F26-'tokendb-0802-all-min300chars'!F26</f>
        <v>0</v>
      </c>
      <c r="G26" s="16">
        <f>'tokendb-0808-all-min300chars'!G26-'tokendb-0802-all-min300chars'!G26</f>
        <v>0</v>
      </c>
    </row>
    <row r="27" spans="1:7" ht="16">
      <c r="A27" s="1"/>
      <c r="B27" s="14" t="s">
        <v>32</v>
      </c>
      <c r="C27" s="15">
        <f>'tokendb-0808-all-min300chars'!C27-'tokendb-0802-all-min300chars'!C27</f>
        <v>0</v>
      </c>
      <c r="D27" s="15">
        <f>'tokendb-0808-all-min300chars'!D27-'tokendb-0802-all-min300chars'!D27</f>
        <v>0</v>
      </c>
      <c r="E27" s="15">
        <f>'tokendb-0808-all-min300chars'!E27-'tokendb-0802-all-min300chars'!E27</f>
        <v>-1</v>
      </c>
      <c r="F27" s="15">
        <f>'tokendb-0808-all-min300chars'!F27-'tokendb-0802-all-min300chars'!F27</f>
        <v>-6</v>
      </c>
      <c r="G27" s="16">
        <f>'tokendb-0808-all-min300chars'!G27-'tokendb-0802-all-min300chars'!G27</f>
        <v>-23</v>
      </c>
    </row>
    <row r="28" spans="1:7" ht="16">
      <c r="A28" s="1"/>
      <c r="B28" s="14" t="s">
        <v>33</v>
      </c>
      <c r="C28" s="15">
        <f>'tokendb-0808-all-min300chars'!C28-'tokendb-0802-all-min300chars'!C28</f>
        <v>0</v>
      </c>
      <c r="D28" s="15">
        <f>'tokendb-0808-all-min300chars'!D28-'tokendb-0802-all-min300chars'!D28</f>
        <v>0</v>
      </c>
      <c r="E28" s="15">
        <f>'tokendb-0808-all-min300chars'!E28-'tokendb-0802-all-min300chars'!E28</f>
        <v>0</v>
      </c>
      <c r="F28" s="15">
        <f>'tokendb-0808-all-min300chars'!F28-'tokendb-0802-all-min300chars'!F28</f>
        <v>0</v>
      </c>
      <c r="G28" s="16">
        <f>'tokendb-0808-all-min300chars'!G28-'tokendb-0802-all-min300chars'!G28</f>
        <v>0</v>
      </c>
    </row>
    <row r="29" spans="1:7" ht="16">
      <c r="A29" s="1"/>
      <c r="B29" s="14" t="s">
        <v>34</v>
      </c>
      <c r="C29" s="15">
        <f>'tokendb-0808-all-min300chars'!C29-'tokendb-0802-all-min300chars'!C29</f>
        <v>0</v>
      </c>
      <c r="D29" s="15">
        <f>'tokendb-0808-all-min300chars'!D29-'tokendb-0802-all-min300chars'!D29</f>
        <v>1</v>
      </c>
      <c r="E29" s="15">
        <f>'tokendb-0808-all-min300chars'!E29-'tokendb-0802-all-min300chars'!E29</f>
        <v>-7</v>
      </c>
      <c r="F29" s="15">
        <f>'tokendb-0808-all-min300chars'!F29-'tokendb-0802-all-min300chars'!F29</f>
        <v>54</v>
      </c>
      <c r="G29" s="16">
        <f>'tokendb-0808-all-min300chars'!G29-'tokendb-0802-all-min300chars'!G29</f>
        <v>-7</v>
      </c>
    </row>
    <row r="30" spans="1:7" ht="16">
      <c r="A30" s="1"/>
      <c r="B30" s="14" t="s">
        <v>35</v>
      </c>
      <c r="C30" s="15">
        <v>2</v>
      </c>
      <c r="D30" s="15">
        <v>26</v>
      </c>
      <c r="E30" s="15">
        <v>4978</v>
      </c>
      <c r="F30" s="15">
        <v>58482</v>
      </c>
      <c r="G30" s="16">
        <v>257631</v>
      </c>
    </row>
    <row r="31" spans="1:7" ht="16">
      <c r="A31" s="1"/>
      <c r="B31" s="14" t="s">
        <v>36</v>
      </c>
      <c r="C31" s="15">
        <v>4</v>
      </c>
      <c r="D31" s="15">
        <v>281</v>
      </c>
      <c r="E31" s="15">
        <v>17223</v>
      </c>
      <c r="F31" s="15">
        <v>184726</v>
      </c>
      <c r="G31" s="16">
        <v>838470</v>
      </c>
    </row>
    <row r="32" spans="1:7" ht="16">
      <c r="A32" s="1"/>
      <c r="B32" s="17" t="s">
        <v>37</v>
      </c>
      <c r="C32" s="18">
        <v>1</v>
      </c>
      <c r="D32" s="18">
        <v>7</v>
      </c>
      <c r="E32" s="18">
        <v>637</v>
      </c>
      <c r="F32" s="18">
        <v>8087</v>
      </c>
      <c r="G32" s="19">
        <v>40498</v>
      </c>
    </row>
    <row r="33" spans="1:7" ht="16">
      <c r="A33" s="1"/>
      <c r="B33" s="1"/>
      <c r="C33" s="1"/>
      <c r="D33" s="1"/>
      <c r="E33" s="1"/>
      <c r="F33" s="1"/>
      <c r="G33" s="1"/>
    </row>
    <row r="34" spans="1:7" ht="16">
      <c r="A34" s="1"/>
      <c r="B34" s="3" t="s">
        <v>38</v>
      </c>
      <c r="C34" s="8">
        <f>SUM(C4:C32)</f>
        <v>834</v>
      </c>
      <c r="D34" s="8">
        <f t="shared" ref="D34:G34" si="0">SUM(D4:D32)</f>
        <v>58671</v>
      </c>
      <c r="E34" s="8">
        <f t="shared" si="0"/>
        <v>7404721</v>
      </c>
      <c r="F34" s="8">
        <f t="shared" si="0"/>
        <v>73800444</v>
      </c>
      <c r="G34" s="8">
        <f t="shared" si="0"/>
        <v>360930209</v>
      </c>
    </row>
  </sheetData>
  <sheetCalcPr fullCalcOnLoad="1"/>
  <mergeCells count="1">
    <mergeCell ref="C1:G1"/>
  </mergeCells>
  <phoneticPr fontId="1" type="noConversion"/>
  <pageMargins left="0.35629921259842523" right="0.35629921259842523" top="0.40944881889763785" bottom="0.40944881889763785" header="0" footer="0"/>
  <pageSetup paperSize="0" scale="95" orientation="portrait" horizontalDpi="4294967292" verticalDpi="4294967292"/>
  <colBreaks count="1" manualBreakCount="1">
    <brk id="7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tokendb-0808-all-min0chars</vt:lpstr>
      <vt:lpstr>tokendb-0808-all-min300chars</vt:lpstr>
      <vt:lpstr>tokendb-0802-all-min0chars</vt:lpstr>
      <vt:lpstr>tokendb-0802-all-min300chars</vt:lpstr>
      <vt:lpstr>diff-0808-0802-min0chars</vt:lpstr>
      <vt:lpstr>diff-0808-0802-min300chars</vt:lpstr>
    </vt:vector>
  </TitlesOfParts>
  <Company>CCH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Brey</dc:creator>
  <cp:lastModifiedBy>Gerhard Brey</cp:lastModifiedBy>
  <cp:lastPrinted>2008-11-04T00:06:21Z</cp:lastPrinted>
  <dcterms:created xsi:type="dcterms:W3CDTF">2008-10-30T13:16:31Z</dcterms:created>
  <dcterms:modified xsi:type="dcterms:W3CDTF">2008-11-04T00:08:24Z</dcterms:modified>
</cp:coreProperties>
</file>