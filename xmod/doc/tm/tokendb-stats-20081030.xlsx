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docProps/core.xml" ContentType="application/vnd.openxmlformats-package.core-properties+xml"/>
  <Default Extension="xml" ContentType="application/xml"/>
  <Override PartName="/xl/queryTables/queryTable4.xml" ContentType="application/vnd.openxmlformats-officedocument.spreadsheetml.queryTable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rels" ContentType="application/vnd.openxmlformats-package.relationships+xml"/>
  <Override PartName="/xl/worksheets/sheet6.xml" ContentType="application/vnd.openxmlformats-officedocument.spreadsheetml.worksheet+xml"/>
  <Override PartName="/xl/queryTables/queryTable3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6.xml" ContentType="application/vnd.openxmlformats-officedocument.spreadsheetml.queryTable+xml"/>
  <Default Extension="jpeg" ContentType="image/jpeg"/>
  <Override PartName="/xl/worksheets/sheet5.xml" ContentType="application/vnd.openxmlformats-officedocument.spreadsheetml.worksheet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xl/queryTables/queryTable5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0" yWindow="0" windowWidth="34400" windowHeight="21620" tabRatio="500"/>
  </bookViews>
  <sheets>
    <sheet name="tokendb-0808-all-min0chars" sheetId="1" r:id="rId1"/>
    <sheet name="tokendb-0808-all-min300chars" sheetId="2" r:id="rId2"/>
    <sheet name="tokendb-0802-all-min0chars" sheetId="3" r:id="rId3"/>
    <sheet name="tokendb-0802-all-min300chars" sheetId="4" r:id="rId4"/>
    <sheet name="diff-0808-0802-min0chars" sheetId="5" r:id="rId5"/>
    <sheet name="diff-0808-0802-min300chars" sheetId="6" r:id="rId6"/>
  </sheets>
  <definedNames>
    <definedName name="TOKENDB_0802_STATS_ALL_200810301700" localSheetId="2">'tokendb-0802-all-min0chars'!$B$2:$W$29</definedName>
    <definedName name="TOKENDB_0802_STATS_MIN300CHARS_ALL_200810301659" localSheetId="3">'tokendb-0802-all-min300chars'!$B$2:$W$29</definedName>
    <definedName name="TOKENDB_STATS_ALL_200810301152" localSheetId="4">'diff-0808-0802-min0chars'!$B$2:$G$32</definedName>
    <definedName name="TOKENDB_STATS_ALL_200810301152" localSheetId="5">'diff-0808-0802-min300chars'!$B$2:$G$32</definedName>
    <definedName name="TOKENDB_STATS_ALL_200810301152" localSheetId="0">'tokendb-0808-all-min0chars'!$B$2:$W$32</definedName>
    <definedName name="TOKENDB_STATS_MIN300CHARS_ALL_200810301152" localSheetId="1">'tokendb-0808-all-min300chars'!$B$2:$W$32</definedName>
  </definedNames>
  <calcPr calcId="130405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G29" i="5"/>
  <c r="F29"/>
  <c r="E29"/>
  <c r="D29"/>
  <c r="G28"/>
  <c r="F28"/>
  <c r="E28"/>
  <c r="D28"/>
  <c r="G27"/>
  <c r="F27"/>
  <c r="E27"/>
  <c r="D27"/>
  <c r="G26"/>
  <c r="F26"/>
  <c r="E26"/>
  <c r="D26"/>
  <c r="G25"/>
  <c r="F25"/>
  <c r="E25"/>
  <c r="D25"/>
  <c r="G24"/>
  <c r="F24"/>
  <c r="E24"/>
  <c r="D24"/>
  <c r="G23"/>
  <c r="F23"/>
  <c r="E23"/>
  <c r="D23"/>
  <c r="G22"/>
  <c r="F22"/>
  <c r="E22"/>
  <c r="D22"/>
  <c r="G21"/>
  <c r="F21"/>
  <c r="E21"/>
  <c r="D21"/>
  <c r="G20"/>
  <c r="F20"/>
  <c r="E20"/>
  <c r="D20"/>
  <c r="G19"/>
  <c r="F19"/>
  <c r="E19"/>
  <c r="D19"/>
  <c r="G18"/>
  <c r="F18"/>
  <c r="E18"/>
  <c r="D18"/>
  <c r="G17"/>
  <c r="F17"/>
  <c r="E17"/>
  <c r="D17"/>
  <c r="G16"/>
  <c r="F16"/>
  <c r="E16"/>
  <c r="D16"/>
  <c r="G15"/>
  <c r="F15"/>
  <c r="E15"/>
  <c r="D15"/>
  <c r="G14"/>
  <c r="F14"/>
  <c r="E14"/>
  <c r="D14"/>
  <c r="G13"/>
  <c r="F13"/>
  <c r="E13"/>
  <c r="D13"/>
  <c r="G12"/>
  <c r="F12"/>
  <c r="E12"/>
  <c r="D12"/>
  <c r="G11"/>
  <c r="F11"/>
  <c r="E11"/>
  <c r="D11"/>
  <c r="G10"/>
  <c r="F10"/>
  <c r="E10"/>
  <c r="D10"/>
  <c r="G9"/>
  <c r="F9"/>
  <c r="E9"/>
  <c r="D9"/>
  <c r="G8"/>
  <c r="F8"/>
  <c r="E8"/>
  <c r="D8"/>
  <c r="G7"/>
  <c r="F7"/>
  <c r="E7"/>
  <c r="D7"/>
  <c r="G6"/>
  <c r="F6"/>
  <c r="E6"/>
  <c r="D6"/>
  <c r="G5"/>
  <c r="F5"/>
  <c r="E5"/>
  <c r="D5"/>
  <c r="G4"/>
  <c r="F4"/>
  <c r="E4"/>
  <c r="D4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G34"/>
  <c r="F34"/>
  <c r="E34"/>
  <c r="D34"/>
  <c r="C34"/>
  <c r="G29" i="6"/>
  <c r="F29"/>
  <c r="E29"/>
  <c r="D29"/>
  <c r="G28"/>
  <c r="F28"/>
  <c r="E28"/>
  <c r="D28"/>
  <c r="G27"/>
  <c r="F27"/>
  <c r="E27"/>
  <c r="D27"/>
  <c r="G26"/>
  <c r="F26"/>
  <c r="E26"/>
  <c r="D26"/>
  <c r="G25"/>
  <c r="F25"/>
  <c r="E25"/>
  <c r="D25"/>
  <c r="G24"/>
  <c r="F24"/>
  <c r="E24"/>
  <c r="D24"/>
  <c r="G23"/>
  <c r="F23"/>
  <c r="E23"/>
  <c r="D23"/>
  <c r="G22"/>
  <c r="F22"/>
  <c r="E22"/>
  <c r="D22"/>
  <c r="G21"/>
  <c r="F21"/>
  <c r="E21"/>
  <c r="D21"/>
  <c r="G20"/>
  <c r="F20"/>
  <c r="E20"/>
  <c r="D20"/>
  <c r="G19"/>
  <c r="F19"/>
  <c r="E19"/>
  <c r="D19"/>
  <c r="G18"/>
  <c r="F18"/>
  <c r="E18"/>
  <c r="D18"/>
  <c r="G17"/>
  <c r="F17"/>
  <c r="E17"/>
  <c r="D17"/>
  <c r="G16"/>
  <c r="F16"/>
  <c r="E16"/>
  <c r="D16"/>
  <c r="G15"/>
  <c r="F15"/>
  <c r="E15"/>
  <c r="D15"/>
  <c r="G14"/>
  <c r="F14"/>
  <c r="E14"/>
  <c r="D14"/>
  <c r="G13"/>
  <c r="F13"/>
  <c r="E13"/>
  <c r="D13"/>
  <c r="G12"/>
  <c r="F12"/>
  <c r="E12"/>
  <c r="D12"/>
  <c r="G11"/>
  <c r="F11"/>
  <c r="E11"/>
  <c r="D11"/>
  <c r="G10"/>
  <c r="F10"/>
  <c r="E10"/>
  <c r="D10"/>
  <c r="G9"/>
  <c r="F9"/>
  <c r="E9"/>
  <c r="D9"/>
  <c r="G8"/>
  <c r="F8"/>
  <c r="E8"/>
  <c r="D8"/>
  <c r="G7"/>
  <c r="F7"/>
  <c r="E7"/>
  <c r="D7"/>
  <c r="G6"/>
  <c r="F6"/>
  <c r="E6"/>
  <c r="D6"/>
  <c r="G5"/>
  <c r="F5"/>
  <c r="E5"/>
  <c r="D5"/>
  <c r="G4"/>
  <c r="F4"/>
  <c r="E4"/>
  <c r="D4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G34"/>
  <c r="F34"/>
  <c r="E34"/>
  <c r="D34"/>
  <c r="C34"/>
  <c r="G31" i="3"/>
  <c r="F31"/>
  <c r="E31"/>
  <c r="D31"/>
  <c r="C31"/>
  <c r="G31" i="4"/>
  <c r="F31"/>
  <c r="E31"/>
  <c r="D31"/>
  <c r="C31"/>
  <c r="G34" i="1"/>
  <c r="F34"/>
  <c r="E34"/>
  <c r="D34"/>
  <c r="C34"/>
  <c r="G34" i="2"/>
  <c r="F34"/>
  <c r="E34"/>
  <c r="D34"/>
  <c r="C34"/>
</calcChain>
</file>

<file path=xl/connections.xml><?xml version="1.0" encoding="utf-8"?>
<connections xmlns="http://schemas.openxmlformats.org/spreadsheetml/2006/main">
  <connection id="1" name="Connection1" type="6" refreshedVersion="0">
    <textPr fileType="mac" sourceFile="ELM_HD:projects:cch:ncse:progs:python:logs:TOKENDB-STATS-ALL-200810301152.csv" comma="1" qualifier="singleQuote">
      <textFields count="22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Connection2" type="6" refreshedVersion="0">
    <textPr fileType="mac" sourceFile="ELM_HD:projects:cch:ncse:progs:python:logs:TOKENDB-STATS-MIN300CHARS-ALL-200810301152.csv" comma="1" qualifier="singleQuote">
      <textFields count="22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Connection3" type="6" refreshedVersion="0">
    <textPr fileType="mac" sourceFile="ELM_HD:projects:cch:ncse:progs:python:logs:TOKENDB-0802-STATS-ALL-200810301700.csv" comma="1" qualifier="singleQuote">
      <textFields count="22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Connection4" type="6" refreshedVersion="0">
    <textPr fileType="mac" sourceFile="ELM_HD:projects:cch:ncse:progs:python:logs:TOKENDB-0802-STATS-MIN300CHARS-ALL-200810301659.csv" comma="1" qualifier="singleQuote">
      <textFields count="22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<sst xmlns="http://schemas.openxmlformats.org/spreadsheetml/2006/main" count="368" uniqueCount="46">
  <si>
    <t>PUBL</t>
  </si>
  <si>
    <t>TOTAL</t>
  </si>
  <si>
    <t>MAX</t>
  </si>
  <si>
    <t>MIN</t>
  </si>
  <si>
    <t>AVG</t>
  </si>
  <si>
    <t>STDDEV</t>
  </si>
  <si>
    <t>ISSUES</t>
  </si>
  <si>
    <t>ARTICLES</t>
  </si>
  <si>
    <t>LINES</t>
  </si>
  <si>
    <t>TOKENS</t>
  </si>
  <si>
    <t>CHARS</t>
  </si>
  <si>
    <t>EWJ</t>
  </si>
  <si>
    <t>LDR</t>
  </si>
  <si>
    <t>MRP</t>
  </si>
  <si>
    <t>NSS</t>
  </si>
  <si>
    <t>TEC</t>
  </si>
  <si>
    <t>TTW</t>
  </si>
  <si>
    <t>FEWJ</t>
  </si>
  <si>
    <t>FLDR</t>
  </si>
  <si>
    <t>CLD</t>
  </si>
  <si>
    <t>EMRP</t>
  </si>
  <si>
    <t>FMRP</t>
  </si>
  <si>
    <t>SMRP</t>
  </si>
  <si>
    <t>SNSS</t>
  </si>
  <si>
    <t>NS2</t>
  </si>
  <si>
    <t>NS3</t>
  </si>
  <si>
    <t>NS4</t>
  </si>
  <si>
    <t>NS5</t>
  </si>
  <si>
    <t>NS6</t>
  </si>
  <si>
    <t>NS7</t>
  </si>
  <si>
    <t>NS8</t>
  </si>
  <si>
    <t>NS9</t>
  </si>
  <si>
    <t>FTEC</t>
  </si>
  <si>
    <t>TTEC</t>
  </si>
  <si>
    <t>ATTW</t>
  </si>
  <si>
    <t>ETTW</t>
  </si>
  <si>
    <t>FTTW</t>
  </si>
  <si>
    <t>SCLD</t>
  </si>
  <si>
    <t>SLDR</t>
  </si>
  <si>
    <t>SXLDR</t>
  </si>
  <si>
    <t>TOTAL</t>
    <phoneticPr fontId="1" type="noConversion"/>
  </si>
  <si>
    <t>ART/ISS</t>
    <phoneticPr fontId="1" type="noConversion"/>
  </si>
  <si>
    <t>LIN/ART</t>
    <phoneticPr fontId="1" type="noConversion"/>
  </si>
  <si>
    <t>TOK/ART</t>
    <phoneticPr fontId="1" type="noConversion"/>
  </si>
  <si>
    <t>CHR/ART</t>
    <phoneticPr fontId="1" type="noConversion"/>
  </si>
  <si>
    <t>DIFF</t>
    <phoneticPr fontId="1" type="noConversion"/>
  </si>
</sst>
</file>

<file path=xl/styles.xml><?xml version="1.0" encoding="utf-8"?>
<styleSheet xmlns="http://schemas.openxmlformats.org/spreadsheetml/2006/main">
  <fonts count="3">
    <font>
      <sz val="10"/>
      <name val="Verdana"/>
    </font>
    <font>
      <sz val="8"/>
      <name val="Verdana"/>
    </font>
    <font>
      <sz val="12"/>
      <name val="Monaco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3" fontId="2" fillId="0" borderId="0" xfId="0" applyNumberFormat="1" applyFont="1"/>
    <xf numFmtId="49" fontId="2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4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7" Type="http://schemas.openxmlformats.org/officeDocument/2006/relationships/theme" Target="theme/theme1.xml"/><Relationship Id="rId11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9" Type="http://schemas.openxmlformats.org/officeDocument/2006/relationships/styles" Target="styles.xml"/><Relationship Id="rId3" Type="http://schemas.openxmlformats.org/officeDocument/2006/relationships/worksheet" Target="worksheets/sheet3.xml"/><Relationship Id="rId6" Type="http://schemas.openxmlformats.org/officeDocument/2006/relationships/worksheet" Target="worksheets/sheet6.xml"/></Relationships>
</file>

<file path=xl/queryTables/queryTable1.xml><?xml version="1.0" encoding="utf-8"?>
<queryTable xmlns="http://schemas.openxmlformats.org/spreadsheetml/2006/main" name="TOKENDB-STATS-ALL-200810301152" connectionId="1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OKENDB-STATS-MIN300CHARS-ALL-200810301152" connectionId="2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OKENDB-0802-STATS-ALL-200810301700" connectionId="3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OKENDB-0802-STATS-MIN300CHARS-ALL-200810301659" connectionId="4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TOKENDB-STATS-ALL-200810301152" connectionId="1" autoFormatId="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TOKENDB-STATS-ALL-200810301152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B2:W34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RowHeight="16"/>
  <cols>
    <col min="1" max="1" width="10.7109375" style="2"/>
    <col min="2" max="2" width="6" style="2" bestFit="1" customWidth="1"/>
    <col min="3" max="3" width="8.7109375" style="2" customWidth="1"/>
    <col min="4" max="4" width="10.85546875" style="2" customWidth="1"/>
    <col min="5" max="5" width="13" style="2" customWidth="1"/>
    <col min="6" max="6" width="15.7109375" style="2" customWidth="1"/>
    <col min="7" max="7" width="16.28515625" style="2" customWidth="1"/>
    <col min="8" max="9" width="9.5703125" style="2" customWidth="1"/>
    <col min="10" max="11" width="8.5703125" style="2" bestFit="1" customWidth="1"/>
    <col min="12" max="12" width="8.28515625" style="2" bestFit="1" customWidth="1"/>
    <col min="13" max="13" width="8.85546875" style="2" customWidth="1"/>
    <col min="14" max="15" width="9.28515625" style="2" bestFit="1" customWidth="1"/>
    <col min="16" max="16" width="10.28515625" style="2" bestFit="1" customWidth="1"/>
    <col min="17" max="17" width="8.7109375" style="2" customWidth="1"/>
    <col min="18" max="19" width="10.28515625" style="2" bestFit="1" customWidth="1"/>
    <col min="20" max="20" width="11.28515625" style="2" bestFit="1" customWidth="1"/>
    <col min="21" max="21" width="8.28515625" style="2" customWidth="1"/>
    <col min="22" max="22" width="8.7109375" style="2" customWidth="1"/>
    <col min="23" max="23" width="9.5703125" style="2" customWidth="1"/>
    <col min="24" max="16384" width="10.7109375" style="2"/>
  </cols>
  <sheetData>
    <row r="2" spans="2:23">
      <c r="B2" s="5" t="s">
        <v>0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2</v>
      </c>
      <c r="I2" s="6" t="s">
        <v>3</v>
      </c>
      <c r="J2" s="6" t="s">
        <v>4</v>
      </c>
      <c r="K2" s="6" t="s">
        <v>5</v>
      </c>
      <c r="L2" s="6" t="s">
        <v>2</v>
      </c>
      <c r="M2" s="6" t="s">
        <v>3</v>
      </c>
      <c r="N2" s="6" t="s">
        <v>4</v>
      </c>
      <c r="O2" s="6" t="s">
        <v>5</v>
      </c>
      <c r="P2" s="6" t="s">
        <v>2</v>
      </c>
      <c r="Q2" s="6" t="s">
        <v>3</v>
      </c>
      <c r="R2" s="6" t="s">
        <v>4</v>
      </c>
      <c r="S2" s="6" t="s">
        <v>5</v>
      </c>
      <c r="T2" s="6" t="s">
        <v>2</v>
      </c>
      <c r="U2" s="6" t="s">
        <v>3</v>
      </c>
      <c r="V2" s="6" t="s">
        <v>4</v>
      </c>
      <c r="W2" s="6" t="s">
        <v>5</v>
      </c>
    </row>
    <row r="3" spans="2:23">
      <c r="B3" s="6"/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41</v>
      </c>
      <c r="I3" s="6" t="s">
        <v>41</v>
      </c>
      <c r="J3" s="6" t="s">
        <v>41</v>
      </c>
      <c r="K3" s="6" t="s">
        <v>41</v>
      </c>
      <c r="L3" s="6" t="s">
        <v>42</v>
      </c>
      <c r="M3" s="6" t="s">
        <v>42</v>
      </c>
      <c r="N3" s="6" t="s">
        <v>42</v>
      </c>
      <c r="O3" s="6" t="s">
        <v>42</v>
      </c>
      <c r="P3" s="6" t="s">
        <v>43</v>
      </c>
      <c r="Q3" s="6" t="s">
        <v>43</v>
      </c>
      <c r="R3" s="6" t="s">
        <v>43</v>
      </c>
      <c r="S3" s="6" t="s">
        <v>43</v>
      </c>
      <c r="T3" s="6" t="s">
        <v>44</v>
      </c>
      <c r="U3" s="6" t="s">
        <v>44</v>
      </c>
      <c r="V3" s="6" t="s">
        <v>44</v>
      </c>
      <c r="W3" s="6" t="s">
        <v>44</v>
      </c>
    </row>
    <row r="4" spans="2:23">
      <c r="B4" s="1" t="s">
        <v>11</v>
      </c>
      <c r="C4" s="3">
        <v>78</v>
      </c>
      <c r="D4" s="3">
        <v>7964</v>
      </c>
      <c r="E4" s="3">
        <v>233935</v>
      </c>
      <c r="F4" s="3">
        <v>3600621</v>
      </c>
      <c r="G4" s="3">
        <v>17609392</v>
      </c>
      <c r="H4" s="3">
        <v>118</v>
      </c>
      <c r="I4" s="3">
        <v>93</v>
      </c>
      <c r="J4" s="3">
        <v>102</v>
      </c>
      <c r="K4" s="3">
        <v>0</v>
      </c>
      <c r="L4" s="3">
        <v>1005</v>
      </c>
      <c r="M4" s="3">
        <v>0</v>
      </c>
      <c r="N4" s="3">
        <v>29.374099999999999</v>
      </c>
      <c r="O4" s="3">
        <v>94.147099999999995</v>
      </c>
      <c r="P4" s="3">
        <v>17359</v>
      </c>
      <c r="Q4" s="3">
        <v>0</v>
      </c>
      <c r="R4" s="3">
        <v>452.1121</v>
      </c>
      <c r="S4" s="3">
        <v>1449.106</v>
      </c>
      <c r="T4" s="3">
        <v>83467</v>
      </c>
      <c r="U4" s="3">
        <v>0</v>
      </c>
      <c r="V4" s="3">
        <v>2211.1241</v>
      </c>
      <c r="W4" s="3">
        <v>7104.5483999999997</v>
      </c>
    </row>
    <row r="5" spans="2:23">
      <c r="B5" s="1" t="s">
        <v>12</v>
      </c>
      <c r="C5" s="3">
        <v>543</v>
      </c>
      <c r="D5" s="3">
        <v>89521</v>
      </c>
      <c r="E5" s="3">
        <v>3690679</v>
      </c>
      <c r="F5" s="3">
        <v>39229019</v>
      </c>
      <c r="G5" s="3">
        <v>190900101</v>
      </c>
      <c r="H5" s="3">
        <v>265</v>
      </c>
      <c r="I5" s="3">
        <v>15</v>
      </c>
      <c r="J5" s="3">
        <v>164</v>
      </c>
      <c r="K5" s="3">
        <v>0</v>
      </c>
      <c r="L5" s="3">
        <v>2204</v>
      </c>
      <c r="M5" s="3">
        <v>0</v>
      </c>
      <c r="N5" s="3">
        <v>41.226999999999997</v>
      </c>
      <c r="O5" s="3">
        <v>81.407499999999999</v>
      </c>
      <c r="P5" s="3">
        <v>21274</v>
      </c>
      <c r="Q5" s="3">
        <v>0</v>
      </c>
      <c r="R5" s="3">
        <v>438.21019999999999</v>
      </c>
      <c r="S5" s="3">
        <v>868.26589999999999</v>
      </c>
      <c r="T5" s="3">
        <v>102198</v>
      </c>
      <c r="U5" s="3">
        <v>0</v>
      </c>
      <c r="V5" s="3">
        <v>2132.4616999999998</v>
      </c>
      <c r="W5" s="3">
        <v>4333.6205</v>
      </c>
    </row>
    <row r="6" spans="2:23">
      <c r="B6" s="1" t="s">
        <v>13</v>
      </c>
      <c r="C6" s="3">
        <v>409</v>
      </c>
      <c r="D6" s="3">
        <v>48653</v>
      </c>
      <c r="E6" s="3">
        <v>2377183</v>
      </c>
      <c r="F6" s="3">
        <v>20700979</v>
      </c>
      <c r="G6" s="3">
        <v>98728458</v>
      </c>
      <c r="H6" s="3">
        <v>193</v>
      </c>
      <c r="I6" s="3">
        <v>7</v>
      </c>
      <c r="J6" s="3">
        <v>118</v>
      </c>
      <c r="K6" s="3">
        <v>0</v>
      </c>
      <c r="L6" s="3">
        <v>2290</v>
      </c>
      <c r="M6" s="3">
        <v>0</v>
      </c>
      <c r="N6" s="3">
        <v>48.859900000000003</v>
      </c>
      <c r="O6" s="3">
        <v>135.81970000000001</v>
      </c>
      <c r="P6" s="3">
        <v>20752</v>
      </c>
      <c r="Q6" s="3">
        <v>0</v>
      </c>
      <c r="R6" s="3">
        <v>425.4821</v>
      </c>
      <c r="S6" s="3">
        <v>1218.0508</v>
      </c>
      <c r="T6" s="3">
        <v>89674</v>
      </c>
      <c r="U6" s="3">
        <v>0</v>
      </c>
      <c r="V6" s="3">
        <v>2029.2367999999999</v>
      </c>
      <c r="W6" s="3">
        <v>5845.6706999999997</v>
      </c>
    </row>
    <row r="7" spans="2:23">
      <c r="B7" s="1" t="s">
        <v>14</v>
      </c>
      <c r="C7" s="3">
        <v>780</v>
      </c>
      <c r="D7" s="3">
        <v>81794</v>
      </c>
      <c r="E7" s="3">
        <v>7243191</v>
      </c>
      <c r="F7" s="3">
        <v>73736454</v>
      </c>
      <c r="G7" s="3">
        <v>351172086</v>
      </c>
      <c r="H7" s="3">
        <v>153</v>
      </c>
      <c r="I7" s="3">
        <v>28</v>
      </c>
      <c r="J7" s="3">
        <v>104</v>
      </c>
      <c r="K7" s="3">
        <v>0</v>
      </c>
      <c r="L7" s="3">
        <v>6183</v>
      </c>
      <c r="M7" s="3">
        <v>0</v>
      </c>
      <c r="N7" s="3">
        <v>88.554100000000005</v>
      </c>
      <c r="O7" s="3">
        <v>169.47389999999999</v>
      </c>
      <c r="P7" s="3">
        <v>61867</v>
      </c>
      <c r="Q7" s="3">
        <v>0</v>
      </c>
      <c r="R7" s="3">
        <v>901.48979999999995</v>
      </c>
      <c r="S7" s="3">
        <v>1744.4976999999999</v>
      </c>
      <c r="T7" s="3">
        <v>289325</v>
      </c>
      <c r="U7" s="3">
        <v>0</v>
      </c>
      <c r="V7" s="3">
        <v>4293.3721999999998</v>
      </c>
      <c r="W7" s="3">
        <v>8387.9498000000003</v>
      </c>
    </row>
    <row r="8" spans="2:23">
      <c r="B8" s="1" t="s">
        <v>15</v>
      </c>
      <c r="C8" s="3">
        <v>264</v>
      </c>
      <c r="D8" s="3">
        <v>55724</v>
      </c>
      <c r="E8" s="3">
        <v>1317815</v>
      </c>
      <c r="F8" s="3">
        <v>27731515</v>
      </c>
      <c r="G8" s="3">
        <v>100630978</v>
      </c>
      <c r="H8" s="3">
        <v>884</v>
      </c>
      <c r="I8" s="3">
        <v>94</v>
      </c>
      <c r="J8" s="3">
        <v>211</v>
      </c>
      <c r="K8" s="3">
        <v>0</v>
      </c>
      <c r="L8" s="3">
        <v>1694</v>
      </c>
      <c r="M8" s="3">
        <v>0</v>
      </c>
      <c r="N8" s="3">
        <v>23.649000000000001</v>
      </c>
      <c r="O8" s="3">
        <v>71.633600000000001</v>
      </c>
      <c r="P8" s="3">
        <v>61686</v>
      </c>
      <c r="Q8" s="3">
        <v>0</v>
      </c>
      <c r="R8" s="3">
        <v>497.65839999999997</v>
      </c>
      <c r="S8" s="3">
        <v>1565.4658999999999</v>
      </c>
      <c r="T8" s="3">
        <v>202563</v>
      </c>
      <c r="U8" s="3">
        <v>0</v>
      </c>
      <c r="V8" s="3">
        <v>1805.8822</v>
      </c>
      <c r="W8" s="3">
        <v>5527.8440000000001</v>
      </c>
    </row>
    <row r="9" spans="2:23">
      <c r="B9" s="1" t="s">
        <v>16</v>
      </c>
      <c r="C9" s="3">
        <v>174</v>
      </c>
      <c r="D9" s="3">
        <v>12647</v>
      </c>
      <c r="E9" s="3">
        <v>134071</v>
      </c>
      <c r="F9" s="3">
        <v>2540402</v>
      </c>
      <c r="G9" s="3">
        <v>10752484</v>
      </c>
      <c r="H9" s="3">
        <v>134</v>
      </c>
      <c r="I9" s="3">
        <v>33</v>
      </c>
      <c r="J9" s="3">
        <v>72</v>
      </c>
      <c r="K9" s="3">
        <v>0</v>
      </c>
      <c r="L9" s="3">
        <v>237</v>
      </c>
      <c r="M9" s="3">
        <v>0</v>
      </c>
      <c r="N9" s="3">
        <v>10.601000000000001</v>
      </c>
      <c r="O9" s="3">
        <v>19.547899999999998</v>
      </c>
      <c r="P9" s="3">
        <v>4530</v>
      </c>
      <c r="Q9" s="3">
        <v>0</v>
      </c>
      <c r="R9" s="3">
        <v>200.8699</v>
      </c>
      <c r="S9" s="3">
        <v>410.59890000000001</v>
      </c>
      <c r="T9" s="3">
        <v>16861</v>
      </c>
      <c r="U9" s="3">
        <v>0</v>
      </c>
      <c r="V9" s="3">
        <v>850.20039999999995</v>
      </c>
      <c r="W9" s="3">
        <v>1733.0962</v>
      </c>
    </row>
    <row r="10" spans="2:23">
      <c r="B10" s="1" t="s">
        <v>17</v>
      </c>
      <c r="C10" s="3">
        <v>13</v>
      </c>
      <c r="D10" s="3">
        <v>97</v>
      </c>
      <c r="E10" s="3">
        <v>1231</v>
      </c>
      <c r="F10" s="3">
        <v>13712</v>
      </c>
      <c r="G10" s="3">
        <v>51684</v>
      </c>
      <c r="H10" s="3">
        <v>9</v>
      </c>
      <c r="I10" s="3">
        <v>4</v>
      </c>
      <c r="J10" s="3">
        <v>7</v>
      </c>
      <c r="K10" s="3">
        <v>0</v>
      </c>
      <c r="L10" s="3">
        <v>48</v>
      </c>
      <c r="M10" s="3">
        <v>0</v>
      </c>
      <c r="N10" s="3">
        <v>12.6907</v>
      </c>
      <c r="O10" s="3">
        <v>15.050700000000001</v>
      </c>
      <c r="P10" s="3">
        <v>767</v>
      </c>
      <c r="Q10" s="3">
        <v>0</v>
      </c>
      <c r="R10" s="3">
        <v>141.36080000000001</v>
      </c>
      <c r="S10" s="3">
        <v>209.66409999999999</v>
      </c>
      <c r="T10" s="3">
        <v>2884</v>
      </c>
      <c r="U10" s="3">
        <v>0</v>
      </c>
      <c r="V10" s="3">
        <v>532.82470000000001</v>
      </c>
      <c r="W10" s="3">
        <v>800.18280000000004</v>
      </c>
    </row>
    <row r="11" spans="2:23">
      <c r="B11" s="1" t="s">
        <v>18</v>
      </c>
      <c r="C11" s="3">
        <v>2</v>
      </c>
      <c r="D11" s="3">
        <v>26</v>
      </c>
      <c r="E11" s="3">
        <v>4880</v>
      </c>
      <c r="F11" s="3">
        <v>37019</v>
      </c>
      <c r="G11" s="3">
        <v>161944</v>
      </c>
      <c r="H11" s="3">
        <v>18</v>
      </c>
      <c r="I11" s="3">
        <v>8</v>
      </c>
      <c r="J11" s="3">
        <v>13</v>
      </c>
      <c r="K11" s="3">
        <v>0</v>
      </c>
      <c r="L11" s="3">
        <v>1608</v>
      </c>
      <c r="M11" s="3">
        <v>0</v>
      </c>
      <c r="N11" s="3">
        <v>187.69229999999999</v>
      </c>
      <c r="O11" s="3">
        <v>366.12259999999998</v>
      </c>
      <c r="P11" s="3">
        <v>15147</v>
      </c>
      <c r="Q11" s="3">
        <v>0</v>
      </c>
      <c r="R11" s="3">
        <v>1423.8077000000001</v>
      </c>
      <c r="S11" s="3">
        <v>3159.5909999999999</v>
      </c>
      <c r="T11" s="3">
        <v>61701</v>
      </c>
      <c r="U11" s="3">
        <v>0</v>
      </c>
      <c r="V11" s="3">
        <v>6228.6153999999997</v>
      </c>
      <c r="W11" s="3">
        <v>13232.165300000001</v>
      </c>
    </row>
    <row r="12" spans="2:23">
      <c r="B12" s="1" t="s">
        <v>19</v>
      </c>
      <c r="C12" s="3">
        <v>461</v>
      </c>
      <c r="D12" s="3">
        <v>72505</v>
      </c>
      <c r="E12" s="3">
        <v>3091440</v>
      </c>
      <c r="F12" s="3">
        <v>32806848</v>
      </c>
      <c r="G12" s="3">
        <v>159769273</v>
      </c>
      <c r="H12" s="3">
        <v>252</v>
      </c>
      <c r="I12" s="3">
        <v>1</v>
      </c>
      <c r="J12" s="3">
        <v>157</v>
      </c>
      <c r="K12" s="3">
        <v>0</v>
      </c>
      <c r="L12" s="3">
        <v>2760</v>
      </c>
      <c r="M12" s="3">
        <v>0</v>
      </c>
      <c r="N12" s="3">
        <v>42.637599999999999</v>
      </c>
      <c r="O12" s="3">
        <v>83.463499999999996</v>
      </c>
      <c r="P12" s="3">
        <v>84058</v>
      </c>
      <c r="Q12" s="3">
        <v>0</v>
      </c>
      <c r="R12" s="3">
        <v>452.47699999999998</v>
      </c>
      <c r="S12" s="3">
        <v>932.66650000000004</v>
      </c>
      <c r="T12" s="3">
        <v>372159</v>
      </c>
      <c r="U12" s="3">
        <v>0</v>
      </c>
      <c r="V12" s="3">
        <v>2203.5621000000001</v>
      </c>
      <c r="W12" s="3">
        <v>4604.5460999999996</v>
      </c>
    </row>
    <row r="13" spans="2:23">
      <c r="B13" s="1" t="s">
        <v>20</v>
      </c>
      <c r="C13" s="3">
        <v>27</v>
      </c>
      <c r="D13" s="3">
        <v>1511</v>
      </c>
      <c r="E13" s="3">
        <v>56074</v>
      </c>
      <c r="F13" s="3">
        <v>411133</v>
      </c>
      <c r="G13" s="3">
        <v>1566272</v>
      </c>
      <c r="H13" s="3">
        <v>90</v>
      </c>
      <c r="I13" s="3">
        <v>4</v>
      </c>
      <c r="J13" s="3">
        <v>55</v>
      </c>
      <c r="K13" s="3">
        <v>0</v>
      </c>
      <c r="L13" s="3">
        <v>710</v>
      </c>
      <c r="M13" s="3">
        <v>0</v>
      </c>
      <c r="N13" s="3">
        <v>37.110500000000002</v>
      </c>
      <c r="O13" s="3">
        <v>56.273299999999999</v>
      </c>
      <c r="P13" s="3">
        <v>2493</v>
      </c>
      <c r="Q13" s="3">
        <v>0</v>
      </c>
      <c r="R13" s="3">
        <v>272.0933</v>
      </c>
      <c r="S13" s="3">
        <v>392.5505</v>
      </c>
      <c r="T13" s="3">
        <v>9377</v>
      </c>
      <c r="U13" s="3">
        <v>0</v>
      </c>
      <c r="V13" s="3">
        <v>1036.5797</v>
      </c>
      <c r="W13" s="3">
        <v>1506.1577</v>
      </c>
    </row>
    <row r="14" spans="2:23">
      <c r="B14" s="1" t="s">
        <v>21</v>
      </c>
      <c r="C14" s="3">
        <v>31</v>
      </c>
      <c r="D14" s="3">
        <v>293</v>
      </c>
      <c r="E14" s="3">
        <v>3437</v>
      </c>
      <c r="F14" s="3">
        <v>26270</v>
      </c>
      <c r="G14" s="3">
        <v>108771</v>
      </c>
      <c r="H14" s="3">
        <v>19</v>
      </c>
      <c r="I14" s="3">
        <v>4</v>
      </c>
      <c r="J14" s="3">
        <v>9</v>
      </c>
      <c r="K14" s="3">
        <v>0</v>
      </c>
      <c r="L14" s="3">
        <v>315</v>
      </c>
      <c r="M14" s="3">
        <v>0</v>
      </c>
      <c r="N14" s="3">
        <v>11.730399999999999</v>
      </c>
      <c r="O14" s="3">
        <v>35.501300000000001</v>
      </c>
      <c r="P14" s="3">
        <v>2411</v>
      </c>
      <c r="Q14" s="3">
        <v>0</v>
      </c>
      <c r="R14" s="3">
        <v>89.658699999999996</v>
      </c>
      <c r="S14" s="3">
        <v>274.70030000000003</v>
      </c>
      <c r="T14" s="3">
        <v>10121</v>
      </c>
      <c r="U14" s="3">
        <v>0</v>
      </c>
      <c r="V14" s="3">
        <v>371.2321</v>
      </c>
      <c r="W14" s="3">
        <v>1158.1296</v>
      </c>
    </row>
    <row r="15" spans="2:23">
      <c r="B15" s="1" t="s">
        <v>22</v>
      </c>
      <c r="C15" s="3">
        <v>24</v>
      </c>
      <c r="D15" s="3">
        <v>838</v>
      </c>
      <c r="E15" s="3">
        <v>32656</v>
      </c>
      <c r="F15" s="3">
        <v>319813</v>
      </c>
      <c r="G15" s="3">
        <v>1442746</v>
      </c>
      <c r="H15" s="3">
        <v>119</v>
      </c>
      <c r="I15" s="3">
        <v>5</v>
      </c>
      <c r="J15" s="3">
        <v>34</v>
      </c>
      <c r="K15" s="3">
        <v>0</v>
      </c>
      <c r="L15" s="3">
        <v>1449</v>
      </c>
      <c r="M15" s="3">
        <v>0</v>
      </c>
      <c r="N15" s="3">
        <v>38.969000000000001</v>
      </c>
      <c r="O15" s="3">
        <v>117.8742</v>
      </c>
      <c r="P15" s="3">
        <v>11028</v>
      </c>
      <c r="Q15" s="3">
        <v>0</v>
      </c>
      <c r="R15" s="3">
        <v>381.63839999999999</v>
      </c>
      <c r="S15" s="3">
        <v>1155.9173000000001</v>
      </c>
      <c r="T15" s="3">
        <v>51798</v>
      </c>
      <c r="U15" s="3">
        <v>0</v>
      </c>
      <c r="V15" s="3">
        <v>1721.6539</v>
      </c>
      <c r="W15" s="3">
        <v>5388.6233000000002</v>
      </c>
    </row>
    <row r="16" spans="2:23">
      <c r="B16" s="1" t="s">
        <v>23</v>
      </c>
      <c r="C16" s="3">
        <v>1</v>
      </c>
      <c r="D16" s="3">
        <v>9</v>
      </c>
      <c r="E16" s="3">
        <v>2304</v>
      </c>
      <c r="F16" s="3">
        <v>24354</v>
      </c>
      <c r="G16" s="3">
        <v>108048</v>
      </c>
      <c r="H16" s="3">
        <v>9</v>
      </c>
      <c r="I16" s="3">
        <v>9</v>
      </c>
      <c r="J16" s="3">
        <v>9</v>
      </c>
      <c r="K16" s="3">
        <v>0</v>
      </c>
      <c r="L16" s="3">
        <v>1825</v>
      </c>
      <c r="M16" s="3">
        <v>1</v>
      </c>
      <c r="N16" s="3">
        <v>256</v>
      </c>
      <c r="O16" s="3">
        <v>571.20150000000001</v>
      </c>
      <c r="P16" s="3">
        <v>18971</v>
      </c>
      <c r="Q16" s="3">
        <v>8</v>
      </c>
      <c r="R16" s="3">
        <v>2706</v>
      </c>
      <c r="S16" s="3">
        <v>5938.2685000000001</v>
      </c>
      <c r="T16" s="3">
        <v>85021</v>
      </c>
      <c r="U16" s="3">
        <v>37</v>
      </c>
      <c r="V16" s="3">
        <v>12005.3333</v>
      </c>
      <c r="W16" s="3">
        <v>26649.255399999998</v>
      </c>
    </row>
    <row r="17" spans="2:23">
      <c r="B17" s="1" t="s">
        <v>24</v>
      </c>
      <c r="C17" s="3">
        <v>596</v>
      </c>
      <c r="D17" s="3">
        <v>63713</v>
      </c>
      <c r="E17" s="3">
        <v>5435459</v>
      </c>
      <c r="F17" s="3">
        <v>54748270</v>
      </c>
      <c r="G17" s="3">
        <v>264645902</v>
      </c>
      <c r="H17" s="3">
        <v>157</v>
      </c>
      <c r="I17" s="3">
        <v>34</v>
      </c>
      <c r="J17" s="3">
        <v>106</v>
      </c>
      <c r="K17" s="3">
        <v>0</v>
      </c>
      <c r="L17" s="3">
        <v>3878</v>
      </c>
      <c r="M17" s="3">
        <v>0</v>
      </c>
      <c r="N17" s="3">
        <v>85.311599999999999</v>
      </c>
      <c r="O17" s="3">
        <v>167.82579999999999</v>
      </c>
      <c r="P17" s="3">
        <v>39951</v>
      </c>
      <c r="Q17" s="3">
        <v>0</v>
      </c>
      <c r="R17" s="3">
        <v>859.29510000000005</v>
      </c>
      <c r="S17" s="3">
        <v>1708.3921</v>
      </c>
      <c r="T17" s="3">
        <v>196734</v>
      </c>
      <c r="U17" s="3">
        <v>0</v>
      </c>
      <c r="V17" s="3">
        <v>4153.7191000000003</v>
      </c>
      <c r="W17" s="3">
        <v>8329.1187000000009</v>
      </c>
    </row>
    <row r="18" spans="2:23">
      <c r="B18" s="1" t="s">
        <v>25</v>
      </c>
      <c r="C18" s="3">
        <v>483</v>
      </c>
      <c r="D18" s="3">
        <v>51470</v>
      </c>
      <c r="E18" s="3">
        <v>4579657</v>
      </c>
      <c r="F18" s="3">
        <v>45877158</v>
      </c>
      <c r="G18" s="3">
        <v>221637906</v>
      </c>
      <c r="H18" s="3">
        <v>156</v>
      </c>
      <c r="I18" s="3">
        <v>37</v>
      </c>
      <c r="J18" s="3">
        <v>106</v>
      </c>
      <c r="K18" s="3">
        <v>0</v>
      </c>
      <c r="L18" s="3">
        <v>5085</v>
      </c>
      <c r="M18" s="3">
        <v>0</v>
      </c>
      <c r="N18" s="3">
        <v>88.977199999999996</v>
      </c>
      <c r="O18" s="3">
        <v>174.27119999999999</v>
      </c>
      <c r="P18" s="3">
        <v>49857</v>
      </c>
      <c r="Q18" s="3">
        <v>0</v>
      </c>
      <c r="R18" s="3">
        <v>891.33780000000002</v>
      </c>
      <c r="S18" s="3">
        <v>1770.1217999999999</v>
      </c>
      <c r="T18" s="3">
        <v>236992</v>
      </c>
      <c r="U18" s="3">
        <v>0</v>
      </c>
      <c r="V18" s="3">
        <v>4306.1571000000004</v>
      </c>
      <c r="W18" s="3">
        <v>8626.4014000000006</v>
      </c>
    </row>
    <row r="19" spans="2:23">
      <c r="B19" s="1" t="s">
        <v>26</v>
      </c>
      <c r="C19" s="3">
        <v>207</v>
      </c>
      <c r="D19" s="3">
        <v>20488</v>
      </c>
      <c r="E19" s="3">
        <v>1913165</v>
      </c>
      <c r="F19" s="3">
        <v>19433730</v>
      </c>
      <c r="G19" s="3">
        <v>93347247</v>
      </c>
      <c r="H19" s="3">
        <v>140</v>
      </c>
      <c r="I19" s="3">
        <v>42</v>
      </c>
      <c r="J19" s="3">
        <v>98</v>
      </c>
      <c r="K19" s="3">
        <v>0</v>
      </c>
      <c r="L19" s="3">
        <v>3838</v>
      </c>
      <c r="M19" s="3">
        <v>0</v>
      </c>
      <c r="N19" s="3">
        <v>93.379800000000003</v>
      </c>
      <c r="O19" s="3">
        <v>174.0762</v>
      </c>
      <c r="P19" s="3">
        <v>39823</v>
      </c>
      <c r="Q19" s="3">
        <v>0</v>
      </c>
      <c r="R19" s="3">
        <v>948.5421</v>
      </c>
      <c r="S19" s="3">
        <v>1806.1307999999999</v>
      </c>
      <c r="T19" s="3">
        <v>197119</v>
      </c>
      <c r="U19" s="3">
        <v>0</v>
      </c>
      <c r="V19" s="3">
        <v>4556.1913000000004</v>
      </c>
      <c r="W19" s="3">
        <v>8719.5774999999994</v>
      </c>
    </row>
    <row r="20" spans="2:23">
      <c r="B20" s="1" t="s">
        <v>27</v>
      </c>
      <c r="C20" s="3">
        <v>126</v>
      </c>
      <c r="D20" s="3">
        <v>12455</v>
      </c>
      <c r="E20" s="3">
        <v>1163047</v>
      </c>
      <c r="F20" s="3">
        <v>11872271</v>
      </c>
      <c r="G20" s="3">
        <v>56442942</v>
      </c>
      <c r="H20" s="3">
        <v>124</v>
      </c>
      <c r="I20" s="3">
        <v>40</v>
      </c>
      <c r="J20" s="3">
        <v>98</v>
      </c>
      <c r="K20" s="3">
        <v>0</v>
      </c>
      <c r="L20" s="3">
        <v>4198</v>
      </c>
      <c r="M20" s="3">
        <v>0</v>
      </c>
      <c r="N20" s="3">
        <v>93.379900000000006</v>
      </c>
      <c r="O20" s="3">
        <v>186.3115</v>
      </c>
      <c r="P20" s="3">
        <v>51450</v>
      </c>
      <c r="Q20" s="3">
        <v>0</v>
      </c>
      <c r="R20" s="3">
        <v>953.21320000000003</v>
      </c>
      <c r="S20" s="3">
        <v>1971.2953</v>
      </c>
      <c r="T20" s="3">
        <v>217095</v>
      </c>
      <c r="U20" s="3">
        <v>0</v>
      </c>
      <c r="V20" s="3">
        <v>4531.7497000000003</v>
      </c>
      <c r="W20" s="3">
        <v>9303.8145000000004</v>
      </c>
    </row>
    <row r="21" spans="2:23">
      <c r="B21" s="1" t="s">
        <v>28</v>
      </c>
      <c r="C21" s="3">
        <v>11</v>
      </c>
      <c r="D21" s="3">
        <v>1139</v>
      </c>
      <c r="E21" s="3">
        <v>103355</v>
      </c>
      <c r="F21" s="3">
        <v>1067779</v>
      </c>
      <c r="G21" s="3">
        <v>5052846</v>
      </c>
      <c r="H21" s="3">
        <v>156</v>
      </c>
      <c r="I21" s="3">
        <v>78</v>
      </c>
      <c r="J21" s="3">
        <v>103</v>
      </c>
      <c r="K21" s="3">
        <v>0</v>
      </c>
      <c r="L21" s="3">
        <v>2678</v>
      </c>
      <c r="M21" s="3">
        <v>0</v>
      </c>
      <c r="N21" s="3">
        <v>90.741900000000001</v>
      </c>
      <c r="O21" s="3">
        <v>185.66229999999999</v>
      </c>
      <c r="P21" s="3">
        <v>27802</v>
      </c>
      <c r="Q21" s="3">
        <v>0</v>
      </c>
      <c r="R21" s="3">
        <v>937.47059999999999</v>
      </c>
      <c r="S21" s="3">
        <v>1957.4706000000001</v>
      </c>
      <c r="T21" s="3">
        <v>136922</v>
      </c>
      <c r="U21" s="3">
        <v>0</v>
      </c>
      <c r="V21" s="3">
        <v>4436.2124999999996</v>
      </c>
      <c r="W21" s="3">
        <v>9324.2054000000007</v>
      </c>
    </row>
    <row r="22" spans="2:23">
      <c r="B22" s="1" t="s">
        <v>29</v>
      </c>
      <c r="C22" s="3">
        <v>7</v>
      </c>
      <c r="D22" s="3">
        <v>643</v>
      </c>
      <c r="E22" s="3">
        <v>65545</v>
      </c>
      <c r="F22" s="3">
        <v>670851</v>
      </c>
      <c r="G22" s="3">
        <v>3179440</v>
      </c>
      <c r="H22" s="3">
        <v>105</v>
      </c>
      <c r="I22" s="3">
        <v>70</v>
      </c>
      <c r="J22" s="3">
        <v>91</v>
      </c>
      <c r="K22" s="3">
        <v>0</v>
      </c>
      <c r="L22" s="3">
        <v>2679</v>
      </c>
      <c r="M22" s="3">
        <v>0</v>
      </c>
      <c r="N22" s="3">
        <v>101.9362</v>
      </c>
      <c r="O22" s="3">
        <v>204.01240000000001</v>
      </c>
      <c r="P22" s="3">
        <v>28897</v>
      </c>
      <c r="Q22" s="3">
        <v>0</v>
      </c>
      <c r="R22" s="3">
        <v>1043.3142</v>
      </c>
      <c r="S22" s="3">
        <v>2149.7716</v>
      </c>
      <c r="T22" s="3">
        <v>139074</v>
      </c>
      <c r="U22" s="3">
        <v>0</v>
      </c>
      <c r="V22" s="3">
        <v>4944.6967000000004</v>
      </c>
      <c r="W22" s="3">
        <v>10206.894700000001</v>
      </c>
    </row>
    <row r="23" spans="2:23">
      <c r="B23" s="1" t="s">
        <v>30</v>
      </c>
      <c r="C23" s="3">
        <v>3</v>
      </c>
      <c r="D23" s="3">
        <v>268</v>
      </c>
      <c r="E23" s="3">
        <v>29696</v>
      </c>
      <c r="F23" s="3">
        <v>295640</v>
      </c>
      <c r="G23" s="3">
        <v>1436253</v>
      </c>
      <c r="H23" s="3">
        <v>105</v>
      </c>
      <c r="I23" s="3">
        <v>71</v>
      </c>
      <c r="J23" s="3">
        <v>89</v>
      </c>
      <c r="K23" s="3">
        <v>0</v>
      </c>
      <c r="L23" s="3">
        <v>2682</v>
      </c>
      <c r="M23" s="3">
        <v>1</v>
      </c>
      <c r="N23" s="3">
        <v>110.806</v>
      </c>
      <c r="O23" s="3">
        <v>240.7148</v>
      </c>
      <c r="P23" s="3">
        <v>28409</v>
      </c>
      <c r="Q23" s="3">
        <v>1</v>
      </c>
      <c r="R23" s="3">
        <v>1103.1342999999999</v>
      </c>
      <c r="S23" s="3">
        <v>2470.6021999999998</v>
      </c>
      <c r="T23" s="3">
        <v>138081</v>
      </c>
      <c r="U23" s="3">
        <v>9</v>
      </c>
      <c r="V23" s="3">
        <v>5359.1530000000002</v>
      </c>
      <c r="W23" s="3">
        <v>12050.315699999999</v>
      </c>
    </row>
    <row r="24" spans="2:23">
      <c r="B24" s="1" t="s">
        <v>31</v>
      </c>
      <c r="C24" s="3">
        <v>1</v>
      </c>
      <c r="D24" s="3">
        <v>71</v>
      </c>
      <c r="E24" s="3">
        <v>10045</v>
      </c>
      <c r="F24" s="3">
        <v>101051</v>
      </c>
      <c r="G24" s="3">
        <v>487444</v>
      </c>
      <c r="H24" s="3">
        <v>71</v>
      </c>
      <c r="I24" s="3">
        <v>71</v>
      </c>
      <c r="J24" s="3">
        <v>71</v>
      </c>
      <c r="K24" s="3">
        <v>0</v>
      </c>
      <c r="L24" s="3">
        <v>2719</v>
      </c>
      <c r="M24" s="3">
        <v>1</v>
      </c>
      <c r="N24" s="3">
        <v>141.47890000000001</v>
      </c>
      <c r="O24" s="3">
        <v>398.42290000000003</v>
      </c>
      <c r="P24" s="3">
        <v>28504</v>
      </c>
      <c r="Q24" s="3">
        <v>2</v>
      </c>
      <c r="R24" s="3">
        <v>1423.2535</v>
      </c>
      <c r="S24" s="3">
        <v>4095.1030999999998</v>
      </c>
      <c r="T24" s="3">
        <v>139641</v>
      </c>
      <c r="U24" s="3">
        <v>9</v>
      </c>
      <c r="V24" s="3">
        <v>6865.4084999999995</v>
      </c>
      <c r="W24" s="3">
        <v>19926.550599999999</v>
      </c>
    </row>
    <row r="25" spans="2:23">
      <c r="B25" s="1" t="s">
        <v>32</v>
      </c>
      <c r="C25" s="3">
        <v>10</v>
      </c>
      <c r="D25" s="3">
        <v>27</v>
      </c>
      <c r="E25" s="3">
        <v>427</v>
      </c>
      <c r="F25" s="3">
        <v>3181</v>
      </c>
      <c r="G25" s="3">
        <v>11046</v>
      </c>
      <c r="H25" s="3">
        <v>5</v>
      </c>
      <c r="I25" s="3">
        <v>1</v>
      </c>
      <c r="J25" s="3">
        <v>2</v>
      </c>
      <c r="K25" s="3">
        <v>0</v>
      </c>
      <c r="L25" s="3">
        <v>71</v>
      </c>
      <c r="M25" s="3">
        <v>0</v>
      </c>
      <c r="N25" s="3">
        <v>15.8148</v>
      </c>
      <c r="O25" s="3">
        <v>16.158999999999999</v>
      </c>
      <c r="P25" s="3">
        <v>483</v>
      </c>
      <c r="Q25" s="3">
        <v>0</v>
      </c>
      <c r="R25" s="3">
        <v>117.81480000000001</v>
      </c>
      <c r="S25" s="3">
        <v>137.96379999999999</v>
      </c>
      <c r="T25" s="3">
        <v>1348</v>
      </c>
      <c r="U25" s="3">
        <v>0</v>
      </c>
      <c r="V25" s="3">
        <v>409.11110000000002</v>
      </c>
      <c r="W25" s="3">
        <v>415.05489999999998</v>
      </c>
    </row>
    <row r="26" spans="2:23">
      <c r="B26" s="1" t="s">
        <v>33</v>
      </c>
      <c r="C26" s="3">
        <v>11</v>
      </c>
      <c r="D26" s="3">
        <v>988</v>
      </c>
      <c r="E26" s="3">
        <v>100661</v>
      </c>
      <c r="F26" s="3">
        <v>5026111</v>
      </c>
      <c r="G26" s="3">
        <v>14608690</v>
      </c>
      <c r="H26" s="3">
        <v>138</v>
      </c>
      <c r="I26" s="3">
        <v>11</v>
      </c>
      <c r="J26" s="3">
        <v>89</v>
      </c>
      <c r="K26" s="3">
        <v>0</v>
      </c>
      <c r="L26" s="3">
        <v>9908</v>
      </c>
      <c r="M26" s="3">
        <v>0</v>
      </c>
      <c r="N26" s="3">
        <v>101.8836</v>
      </c>
      <c r="O26" s="3">
        <v>723.94550000000004</v>
      </c>
      <c r="P26" s="3">
        <v>467793</v>
      </c>
      <c r="Q26" s="3">
        <v>0</v>
      </c>
      <c r="R26" s="3">
        <v>5087.1569</v>
      </c>
      <c r="S26" s="3">
        <v>35865.290999999997</v>
      </c>
      <c r="T26" s="3">
        <v>1379326</v>
      </c>
      <c r="U26" s="3">
        <v>0</v>
      </c>
      <c r="V26" s="3">
        <v>14786.1235</v>
      </c>
      <c r="W26" s="3">
        <v>103609.5374</v>
      </c>
    </row>
    <row r="27" spans="2:23">
      <c r="B27" s="1" t="s">
        <v>34</v>
      </c>
      <c r="C27" s="3">
        <v>2</v>
      </c>
      <c r="D27" s="3">
        <v>100</v>
      </c>
      <c r="E27" s="3">
        <v>1068</v>
      </c>
      <c r="F27" s="3">
        <v>18744</v>
      </c>
      <c r="G27" s="3">
        <v>80962</v>
      </c>
      <c r="H27" s="3">
        <v>73</v>
      </c>
      <c r="I27" s="3">
        <v>27</v>
      </c>
      <c r="J27" s="3">
        <v>50</v>
      </c>
      <c r="K27" s="3">
        <v>0</v>
      </c>
      <c r="L27" s="3">
        <v>95</v>
      </c>
      <c r="M27" s="3">
        <v>0</v>
      </c>
      <c r="N27" s="3">
        <v>10.68</v>
      </c>
      <c r="O27" s="3">
        <v>20.1737</v>
      </c>
      <c r="P27" s="3">
        <v>1968</v>
      </c>
      <c r="Q27" s="3">
        <v>0</v>
      </c>
      <c r="R27" s="3">
        <v>187.44</v>
      </c>
      <c r="S27" s="3">
        <v>387.42450000000002</v>
      </c>
      <c r="T27" s="3">
        <v>8190</v>
      </c>
      <c r="U27" s="3">
        <v>0</v>
      </c>
      <c r="V27" s="3">
        <v>809.62</v>
      </c>
      <c r="W27" s="3">
        <v>1661.2918</v>
      </c>
    </row>
    <row r="28" spans="2:23">
      <c r="B28" s="1" t="s">
        <v>35</v>
      </c>
      <c r="C28" s="3">
        <v>6</v>
      </c>
      <c r="D28" s="3">
        <v>27</v>
      </c>
      <c r="E28" s="3">
        <v>1733</v>
      </c>
      <c r="F28" s="3">
        <v>21282</v>
      </c>
      <c r="G28" s="3">
        <v>80725</v>
      </c>
      <c r="H28" s="3">
        <v>5</v>
      </c>
      <c r="I28" s="3">
        <v>4</v>
      </c>
      <c r="J28" s="3">
        <v>4</v>
      </c>
      <c r="K28" s="3">
        <v>0</v>
      </c>
      <c r="L28" s="3">
        <v>379</v>
      </c>
      <c r="M28" s="3">
        <v>0</v>
      </c>
      <c r="N28" s="3">
        <v>64.185199999999995</v>
      </c>
      <c r="O28" s="3">
        <v>118.4421</v>
      </c>
      <c r="P28" s="3">
        <v>3979</v>
      </c>
      <c r="Q28" s="3">
        <v>0</v>
      </c>
      <c r="R28" s="3">
        <v>788.22220000000004</v>
      </c>
      <c r="S28" s="3">
        <v>1470.0476000000001</v>
      </c>
      <c r="T28" s="3">
        <v>16062</v>
      </c>
      <c r="U28" s="3">
        <v>0</v>
      </c>
      <c r="V28" s="3">
        <v>2989.8148000000001</v>
      </c>
      <c r="W28" s="3">
        <v>5587.3463000000002</v>
      </c>
    </row>
    <row r="29" spans="2:23">
      <c r="B29" s="1" t="s">
        <v>36</v>
      </c>
      <c r="C29" s="3">
        <v>6</v>
      </c>
      <c r="D29" s="3">
        <v>51</v>
      </c>
      <c r="E29" s="3">
        <v>335</v>
      </c>
      <c r="F29" s="3">
        <v>6583</v>
      </c>
      <c r="G29" s="3">
        <v>23892</v>
      </c>
      <c r="H29" s="3">
        <v>11</v>
      </c>
      <c r="I29" s="3">
        <v>7</v>
      </c>
      <c r="J29" s="3">
        <v>8</v>
      </c>
      <c r="K29" s="3">
        <v>0</v>
      </c>
      <c r="L29" s="3">
        <v>53</v>
      </c>
      <c r="M29" s="3">
        <v>0</v>
      </c>
      <c r="N29" s="3">
        <v>6.5686</v>
      </c>
      <c r="O29" s="3">
        <v>12.843299999999999</v>
      </c>
      <c r="P29" s="3">
        <v>1852</v>
      </c>
      <c r="Q29" s="3">
        <v>0</v>
      </c>
      <c r="R29" s="3">
        <v>129.07839999999999</v>
      </c>
      <c r="S29" s="3">
        <v>319.90589999999997</v>
      </c>
      <c r="T29" s="3">
        <v>4114</v>
      </c>
      <c r="U29" s="3">
        <v>0</v>
      </c>
      <c r="V29" s="3">
        <v>468.47059999999999</v>
      </c>
      <c r="W29" s="3">
        <v>1043.0048999999999</v>
      </c>
    </row>
    <row r="30" spans="2:23">
      <c r="B30" s="1" t="s">
        <v>37</v>
      </c>
      <c r="C30" s="3">
        <v>2</v>
      </c>
      <c r="D30" s="3">
        <v>55</v>
      </c>
      <c r="E30" s="3">
        <v>5033</v>
      </c>
      <c r="F30" s="3">
        <v>59107</v>
      </c>
      <c r="G30" s="3">
        <v>259613</v>
      </c>
      <c r="H30" s="3">
        <v>37</v>
      </c>
      <c r="I30" s="3">
        <v>18</v>
      </c>
      <c r="J30" s="3">
        <v>27</v>
      </c>
      <c r="K30" s="3">
        <v>0</v>
      </c>
      <c r="L30" s="3">
        <v>963</v>
      </c>
      <c r="M30" s="3">
        <v>1</v>
      </c>
      <c r="N30" s="3">
        <v>91.509100000000004</v>
      </c>
      <c r="O30" s="3">
        <v>170.48429999999999</v>
      </c>
      <c r="P30" s="3">
        <v>9564</v>
      </c>
      <c r="Q30" s="3">
        <v>2</v>
      </c>
      <c r="R30" s="3">
        <v>1074.6727000000001</v>
      </c>
      <c r="S30" s="3">
        <v>1845.8749</v>
      </c>
      <c r="T30" s="3">
        <v>39008</v>
      </c>
      <c r="U30" s="3">
        <v>14</v>
      </c>
      <c r="V30" s="3">
        <v>4720.2363999999998</v>
      </c>
      <c r="W30" s="3">
        <v>8069.5649999999996</v>
      </c>
    </row>
    <row r="31" spans="2:23">
      <c r="B31" s="1" t="s">
        <v>38</v>
      </c>
      <c r="C31" s="3">
        <v>4</v>
      </c>
      <c r="D31" s="3">
        <v>434</v>
      </c>
      <c r="E31" s="3">
        <v>17746</v>
      </c>
      <c r="F31" s="3">
        <v>189840</v>
      </c>
      <c r="G31" s="3">
        <v>854624</v>
      </c>
      <c r="H31" s="3">
        <v>201</v>
      </c>
      <c r="I31" s="3">
        <v>14</v>
      </c>
      <c r="J31" s="3">
        <v>108</v>
      </c>
      <c r="K31" s="3">
        <v>0</v>
      </c>
      <c r="L31" s="3">
        <v>646</v>
      </c>
      <c r="M31" s="3">
        <v>0</v>
      </c>
      <c r="N31" s="3">
        <v>40.889400000000002</v>
      </c>
      <c r="O31" s="3">
        <v>77.023799999999994</v>
      </c>
      <c r="P31" s="3">
        <v>6862</v>
      </c>
      <c r="Q31" s="3">
        <v>0</v>
      </c>
      <c r="R31" s="3">
        <v>437.4194</v>
      </c>
      <c r="S31" s="3">
        <v>845.50519999999995</v>
      </c>
      <c r="T31" s="3">
        <v>32803</v>
      </c>
      <c r="U31" s="3">
        <v>0</v>
      </c>
      <c r="V31" s="3">
        <v>1969.1796999999999</v>
      </c>
      <c r="W31" s="3">
        <v>4064.5030999999999</v>
      </c>
    </row>
    <row r="32" spans="2:23">
      <c r="B32" s="1" t="s">
        <v>39</v>
      </c>
      <c r="C32" s="3">
        <v>1</v>
      </c>
      <c r="D32" s="3">
        <v>14</v>
      </c>
      <c r="E32" s="3">
        <v>648</v>
      </c>
      <c r="F32" s="3">
        <v>8210</v>
      </c>
      <c r="G32" s="3">
        <v>40930</v>
      </c>
      <c r="H32" s="3">
        <v>14</v>
      </c>
      <c r="I32" s="3">
        <v>14</v>
      </c>
      <c r="J32" s="3">
        <v>14</v>
      </c>
      <c r="K32" s="3">
        <v>0</v>
      </c>
      <c r="L32" s="3">
        <v>520</v>
      </c>
      <c r="M32" s="3">
        <v>1</v>
      </c>
      <c r="N32" s="3">
        <v>46.285699999999999</v>
      </c>
      <c r="O32" s="3">
        <v>131.74459999999999</v>
      </c>
      <c r="P32" s="3">
        <v>6237</v>
      </c>
      <c r="Q32" s="3">
        <v>10</v>
      </c>
      <c r="R32" s="3">
        <v>586.42859999999996</v>
      </c>
      <c r="S32" s="3">
        <v>1576.3504</v>
      </c>
      <c r="T32" s="3">
        <v>32697</v>
      </c>
      <c r="U32" s="3">
        <v>26</v>
      </c>
      <c r="V32" s="3">
        <v>2923.5713999999998</v>
      </c>
      <c r="W32" s="3">
        <v>8290.2286000000004</v>
      </c>
    </row>
    <row r="34" spans="2:7">
      <c r="B34" s="2" t="s">
        <v>40</v>
      </c>
      <c r="C34" s="3">
        <f>SUM(C4:C32)</f>
        <v>4283</v>
      </c>
      <c r="D34" s="3">
        <f t="shared" ref="D34:G34" si="0">SUM(D4:D32)</f>
        <v>523525</v>
      </c>
      <c r="E34" s="3">
        <f t="shared" si="0"/>
        <v>31616516</v>
      </c>
      <c r="F34" s="3">
        <f t="shared" si="0"/>
        <v>340577947</v>
      </c>
      <c r="G34" s="3">
        <f t="shared" si="0"/>
        <v>1595192699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B2:W3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RowHeight="16"/>
  <cols>
    <col min="1" max="1" width="10.7109375" style="2"/>
    <col min="2" max="2" width="6" style="2" bestFit="1" customWidth="1"/>
    <col min="3" max="3" width="8.7109375" style="2" customWidth="1"/>
    <col min="4" max="4" width="11.7109375" style="2" customWidth="1"/>
    <col min="5" max="5" width="13.85546875" style="2" customWidth="1"/>
    <col min="6" max="6" width="17.42578125" style="2" customWidth="1"/>
    <col min="7" max="7" width="17.28515625" style="2" customWidth="1"/>
    <col min="8" max="11" width="8.5703125" style="2" bestFit="1" customWidth="1"/>
    <col min="12" max="12" width="8.28515625" style="2" bestFit="1" customWidth="1"/>
    <col min="13" max="13" width="7.28515625" style="2" bestFit="1" customWidth="1"/>
    <col min="14" max="16" width="10.28515625" style="2" bestFit="1" customWidth="1"/>
    <col min="17" max="17" width="8.28515625" style="2" bestFit="1" customWidth="1"/>
    <col min="18" max="18" width="11.28515625" style="2" bestFit="1" customWidth="1"/>
    <col min="19" max="19" width="12.28515625" style="2" bestFit="1" customWidth="1"/>
    <col min="20" max="20" width="11.28515625" style="2" bestFit="1" customWidth="1"/>
    <col min="21" max="21" width="9.28515625" style="2" bestFit="1" customWidth="1"/>
    <col min="22" max="23" width="12.28515625" style="2" bestFit="1" customWidth="1"/>
    <col min="24" max="16384" width="10.7109375" style="2"/>
  </cols>
  <sheetData>
    <row r="2" spans="2:23">
      <c r="B2" s="5" t="s">
        <v>0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2</v>
      </c>
      <c r="I2" s="6" t="s">
        <v>3</v>
      </c>
      <c r="J2" s="6" t="s">
        <v>4</v>
      </c>
      <c r="K2" s="6" t="s">
        <v>5</v>
      </c>
      <c r="L2" s="6" t="s">
        <v>2</v>
      </c>
      <c r="M2" s="6" t="s">
        <v>3</v>
      </c>
      <c r="N2" s="6" t="s">
        <v>4</v>
      </c>
      <c r="O2" s="6" t="s">
        <v>5</v>
      </c>
      <c r="P2" s="6" t="s">
        <v>2</v>
      </c>
      <c r="Q2" s="6" t="s">
        <v>3</v>
      </c>
      <c r="R2" s="6" t="s">
        <v>4</v>
      </c>
      <c r="S2" s="6" t="s">
        <v>5</v>
      </c>
      <c r="T2" s="6" t="s">
        <v>2</v>
      </c>
      <c r="U2" s="6" t="s">
        <v>3</v>
      </c>
      <c r="V2" s="6" t="s">
        <v>4</v>
      </c>
      <c r="W2" s="6" t="s">
        <v>5</v>
      </c>
    </row>
    <row r="3" spans="2:23">
      <c r="B3" s="6"/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41</v>
      </c>
      <c r="I3" s="6" t="s">
        <v>41</v>
      </c>
      <c r="J3" s="6" t="s">
        <v>41</v>
      </c>
      <c r="K3" s="6" t="s">
        <v>41</v>
      </c>
      <c r="L3" s="6" t="s">
        <v>42</v>
      </c>
      <c r="M3" s="6" t="s">
        <v>42</v>
      </c>
      <c r="N3" s="6" t="s">
        <v>42</v>
      </c>
      <c r="O3" s="6" t="s">
        <v>42</v>
      </c>
      <c r="P3" s="6" t="s">
        <v>43</v>
      </c>
      <c r="Q3" s="6" t="s">
        <v>43</v>
      </c>
      <c r="R3" s="6" t="s">
        <v>43</v>
      </c>
      <c r="S3" s="6" t="s">
        <v>43</v>
      </c>
      <c r="T3" s="6" t="s">
        <v>44</v>
      </c>
      <c r="U3" s="6" t="s">
        <v>44</v>
      </c>
      <c r="V3" s="6" t="s">
        <v>44</v>
      </c>
      <c r="W3" s="6" t="s">
        <v>44</v>
      </c>
    </row>
    <row r="4" spans="2:23">
      <c r="B4" s="1" t="s">
        <v>11</v>
      </c>
      <c r="C4" s="3">
        <v>78</v>
      </c>
      <c r="D4" s="3">
        <v>1359</v>
      </c>
      <c r="E4" s="3">
        <v>225973</v>
      </c>
      <c r="F4" s="3">
        <v>3554376</v>
      </c>
      <c r="G4" s="3">
        <v>17396077</v>
      </c>
      <c r="H4" s="3">
        <v>31</v>
      </c>
      <c r="I4" s="3">
        <v>12</v>
      </c>
      <c r="J4" s="3">
        <v>17</v>
      </c>
      <c r="K4" s="3">
        <v>0</v>
      </c>
      <c r="L4" s="3">
        <v>1005</v>
      </c>
      <c r="M4" s="3">
        <v>3</v>
      </c>
      <c r="N4" s="3">
        <v>166.27889999999999</v>
      </c>
      <c r="O4" s="3">
        <v>171.2944</v>
      </c>
      <c r="P4" s="3">
        <v>17359</v>
      </c>
      <c r="Q4" s="3">
        <v>50</v>
      </c>
      <c r="R4" s="3">
        <v>2615.4349000000002</v>
      </c>
      <c r="S4" s="3">
        <v>2581.2456000000002</v>
      </c>
      <c r="T4" s="3">
        <v>83467</v>
      </c>
      <c r="U4" s="3">
        <v>304</v>
      </c>
      <c r="V4" s="3">
        <v>12800.6453</v>
      </c>
      <c r="W4" s="3">
        <v>12671.923000000001</v>
      </c>
    </row>
    <row r="5" spans="2:23">
      <c r="B5" s="1" t="s">
        <v>12</v>
      </c>
      <c r="C5" s="3">
        <v>543</v>
      </c>
      <c r="D5" s="3">
        <v>57087</v>
      </c>
      <c r="E5" s="3">
        <v>3609045</v>
      </c>
      <c r="F5" s="3">
        <v>38422043</v>
      </c>
      <c r="G5" s="3">
        <v>187852977</v>
      </c>
      <c r="H5" s="3">
        <v>173</v>
      </c>
      <c r="I5" s="3">
        <v>8</v>
      </c>
      <c r="J5" s="3">
        <v>105</v>
      </c>
      <c r="K5" s="3">
        <v>0</v>
      </c>
      <c r="L5" s="3">
        <v>2204</v>
      </c>
      <c r="M5" s="3">
        <v>2</v>
      </c>
      <c r="N5" s="3">
        <v>63.220100000000002</v>
      </c>
      <c r="O5" s="3">
        <v>95.156599999999997</v>
      </c>
      <c r="P5" s="3">
        <v>21274</v>
      </c>
      <c r="Q5" s="3">
        <v>26</v>
      </c>
      <c r="R5" s="3">
        <v>673.04369999999994</v>
      </c>
      <c r="S5" s="3">
        <v>1014.7512</v>
      </c>
      <c r="T5" s="3">
        <v>102198</v>
      </c>
      <c r="U5" s="3">
        <v>301</v>
      </c>
      <c r="V5" s="3">
        <v>3290.6437000000001</v>
      </c>
      <c r="W5" s="3">
        <v>5073.8113999999996</v>
      </c>
    </row>
    <row r="6" spans="2:23">
      <c r="B6" s="1" t="s">
        <v>13</v>
      </c>
      <c r="C6" s="3">
        <v>409</v>
      </c>
      <c r="D6" s="3">
        <v>13609</v>
      </c>
      <c r="E6" s="3">
        <v>2331770</v>
      </c>
      <c r="F6" s="3">
        <v>20326616</v>
      </c>
      <c r="G6" s="3">
        <v>97227834</v>
      </c>
      <c r="H6" s="3">
        <v>83</v>
      </c>
      <c r="I6" s="3">
        <v>1</v>
      </c>
      <c r="J6" s="3">
        <v>33</v>
      </c>
      <c r="K6" s="3">
        <v>0</v>
      </c>
      <c r="L6" s="3">
        <v>2290</v>
      </c>
      <c r="M6" s="3">
        <v>2</v>
      </c>
      <c r="N6" s="3">
        <v>171.34030000000001</v>
      </c>
      <c r="O6" s="3">
        <v>212.4134</v>
      </c>
      <c r="P6" s="3">
        <v>20752</v>
      </c>
      <c r="Q6" s="3">
        <v>23</v>
      </c>
      <c r="R6" s="3">
        <v>1493.6157000000001</v>
      </c>
      <c r="S6" s="3">
        <v>1928.6902</v>
      </c>
      <c r="T6" s="3">
        <v>89674</v>
      </c>
      <c r="U6" s="3">
        <v>301</v>
      </c>
      <c r="V6" s="3">
        <v>7144.3774999999996</v>
      </c>
      <c r="W6" s="3">
        <v>9264.8323</v>
      </c>
    </row>
    <row r="7" spans="2:23">
      <c r="B7" s="1" t="s">
        <v>14</v>
      </c>
      <c r="C7" s="3">
        <v>780</v>
      </c>
      <c r="D7" s="3">
        <v>56254</v>
      </c>
      <c r="E7" s="3">
        <v>7188224</v>
      </c>
      <c r="F7" s="3">
        <v>73243857</v>
      </c>
      <c r="G7" s="3">
        <v>349420514</v>
      </c>
      <c r="H7" s="3">
        <v>124</v>
      </c>
      <c r="I7" s="3">
        <v>12</v>
      </c>
      <c r="J7" s="3">
        <v>72</v>
      </c>
      <c r="K7" s="3">
        <v>0</v>
      </c>
      <c r="L7" s="3">
        <v>6183</v>
      </c>
      <c r="M7" s="3">
        <v>2</v>
      </c>
      <c r="N7" s="3">
        <v>127.7816</v>
      </c>
      <c r="O7" s="3">
        <v>191.91579999999999</v>
      </c>
      <c r="P7" s="3">
        <v>61867</v>
      </c>
      <c r="Q7" s="3">
        <v>50</v>
      </c>
      <c r="R7" s="3">
        <v>1302.0204000000001</v>
      </c>
      <c r="S7" s="3">
        <v>1977.6179999999999</v>
      </c>
      <c r="T7" s="3">
        <v>289325</v>
      </c>
      <c r="U7" s="3">
        <v>301</v>
      </c>
      <c r="V7" s="3">
        <v>6211.4785000000002</v>
      </c>
      <c r="W7" s="3">
        <v>9513.9871000000003</v>
      </c>
    </row>
    <row r="8" spans="2:23">
      <c r="B8" s="1" t="s">
        <v>15</v>
      </c>
      <c r="C8" s="3">
        <v>264</v>
      </c>
      <c r="D8" s="3">
        <v>25293</v>
      </c>
      <c r="E8" s="3">
        <v>1231508</v>
      </c>
      <c r="F8" s="3">
        <v>26700282</v>
      </c>
      <c r="G8" s="3">
        <v>97120903</v>
      </c>
      <c r="H8" s="3">
        <v>407</v>
      </c>
      <c r="I8" s="3">
        <v>24</v>
      </c>
      <c r="J8" s="3">
        <v>95</v>
      </c>
      <c r="K8" s="3">
        <v>0</v>
      </c>
      <c r="L8" s="3">
        <v>1694</v>
      </c>
      <c r="M8" s="3">
        <v>1</v>
      </c>
      <c r="N8" s="3">
        <v>48.689700000000002</v>
      </c>
      <c r="O8" s="3">
        <v>100.75960000000001</v>
      </c>
      <c r="P8" s="3">
        <v>61686</v>
      </c>
      <c r="Q8" s="3">
        <v>21</v>
      </c>
      <c r="R8" s="3">
        <v>1055.6392000000001</v>
      </c>
      <c r="S8" s="3">
        <v>2197.3152</v>
      </c>
      <c r="T8" s="3">
        <v>202563</v>
      </c>
      <c r="U8" s="3">
        <v>301</v>
      </c>
      <c r="V8" s="3">
        <v>3839.8332999999998</v>
      </c>
      <c r="W8" s="3">
        <v>7729.0337</v>
      </c>
    </row>
    <row r="9" spans="2:23">
      <c r="B9" s="1" t="s">
        <v>16</v>
      </c>
      <c r="C9" s="3">
        <v>174</v>
      </c>
      <c r="D9" s="3">
        <v>5201</v>
      </c>
      <c r="E9" s="3">
        <v>120112</v>
      </c>
      <c r="F9" s="3">
        <v>2411361</v>
      </c>
      <c r="G9" s="3">
        <v>10242476</v>
      </c>
      <c r="H9" s="3">
        <v>66</v>
      </c>
      <c r="I9" s="3">
        <v>11</v>
      </c>
      <c r="J9" s="3">
        <v>29</v>
      </c>
      <c r="K9" s="3">
        <v>0</v>
      </c>
      <c r="L9" s="3">
        <v>237</v>
      </c>
      <c r="M9" s="3">
        <v>1</v>
      </c>
      <c r="N9" s="3">
        <v>23.094000000000001</v>
      </c>
      <c r="O9" s="3">
        <v>25.6602</v>
      </c>
      <c r="P9" s="3">
        <v>4530</v>
      </c>
      <c r="Q9" s="3">
        <v>27</v>
      </c>
      <c r="R9" s="3">
        <v>463.63409999999999</v>
      </c>
      <c r="S9" s="3">
        <v>540.46799999999996</v>
      </c>
      <c r="T9" s="3">
        <v>16861</v>
      </c>
      <c r="U9" s="3">
        <v>301</v>
      </c>
      <c r="V9" s="3">
        <v>1969.3281999999999</v>
      </c>
      <c r="W9" s="3">
        <v>2273.3047000000001</v>
      </c>
    </row>
    <row r="10" spans="2:23">
      <c r="B10" s="1" t="s">
        <v>17</v>
      </c>
      <c r="C10" s="3">
        <v>13</v>
      </c>
      <c r="D10" s="3">
        <v>27</v>
      </c>
      <c r="E10" s="3">
        <v>941</v>
      </c>
      <c r="F10" s="3">
        <v>12008</v>
      </c>
      <c r="G10" s="3">
        <v>45485</v>
      </c>
      <c r="H10" s="3">
        <v>4</v>
      </c>
      <c r="I10" s="3">
        <v>2</v>
      </c>
      <c r="J10" s="3">
        <v>2</v>
      </c>
      <c r="K10" s="3">
        <v>0</v>
      </c>
      <c r="L10" s="3">
        <v>48</v>
      </c>
      <c r="M10" s="3">
        <v>10</v>
      </c>
      <c r="N10" s="3">
        <v>34.851900000000001</v>
      </c>
      <c r="O10" s="3">
        <v>10.1751</v>
      </c>
      <c r="P10" s="3">
        <v>767</v>
      </c>
      <c r="Q10" s="3">
        <v>135</v>
      </c>
      <c r="R10" s="3">
        <v>444.7407</v>
      </c>
      <c r="S10" s="3">
        <v>170.93700000000001</v>
      </c>
      <c r="T10" s="3">
        <v>2884</v>
      </c>
      <c r="U10" s="3">
        <v>318</v>
      </c>
      <c r="V10" s="3">
        <v>1684.6296</v>
      </c>
      <c r="W10" s="3">
        <v>668.2396</v>
      </c>
    </row>
    <row r="11" spans="2:23">
      <c r="B11" s="1" t="s">
        <v>18</v>
      </c>
      <c r="C11" s="3">
        <v>2</v>
      </c>
      <c r="D11" s="3">
        <v>11</v>
      </c>
      <c r="E11" s="3">
        <v>4844</v>
      </c>
      <c r="F11" s="3">
        <v>36748</v>
      </c>
      <c r="G11" s="3">
        <v>161209</v>
      </c>
      <c r="H11" s="3">
        <v>9</v>
      </c>
      <c r="I11" s="3">
        <v>2</v>
      </c>
      <c r="J11" s="3">
        <v>5</v>
      </c>
      <c r="K11" s="3">
        <v>0</v>
      </c>
      <c r="L11" s="3">
        <v>1608</v>
      </c>
      <c r="M11" s="3">
        <v>5</v>
      </c>
      <c r="N11" s="3">
        <v>440.36360000000002</v>
      </c>
      <c r="O11" s="3">
        <v>454.05470000000003</v>
      </c>
      <c r="P11" s="3">
        <v>15147</v>
      </c>
      <c r="Q11" s="3">
        <v>84</v>
      </c>
      <c r="R11" s="3">
        <v>3340.7273</v>
      </c>
      <c r="S11" s="3">
        <v>4150.4429</v>
      </c>
      <c r="T11" s="3">
        <v>61701</v>
      </c>
      <c r="U11" s="3">
        <v>446</v>
      </c>
      <c r="V11" s="3">
        <v>14655.363600000001</v>
      </c>
      <c r="W11" s="3">
        <v>17051.722000000002</v>
      </c>
    </row>
    <row r="12" spans="2:23">
      <c r="B12" s="1" t="s">
        <v>19</v>
      </c>
      <c r="C12" s="3">
        <v>461</v>
      </c>
      <c r="D12" s="3">
        <v>46827</v>
      </c>
      <c r="E12" s="3">
        <v>3026790</v>
      </c>
      <c r="F12" s="3">
        <v>32155473</v>
      </c>
      <c r="G12" s="3">
        <v>157342024</v>
      </c>
      <c r="H12" s="3">
        <v>165</v>
      </c>
      <c r="I12" s="3">
        <v>1</v>
      </c>
      <c r="J12" s="3">
        <v>101</v>
      </c>
      <c r="K12" s="3">
        <v>0</v>
      </c>
      <c r="L12" s="3">
        <v>2760</v>
      </c>
      <c r="M12" s="3">
        <v>2</v>
      </c>
      <c r="N12" s="3">
        <v>64.637699999999995</v>
      </c>
      <c r="O12" s="3">
        <v>97.040700000000001</v>
      </c>
      <c r="P12" s="3">
        <v>84058</v>
      </c>
      <c r="Q12" s="3">
        <v>27</v>
      </c>
      <c r="R12" s="3">
        <v>686.6866</v>
      </c>
      <c r="S12" s="3">
        <v>1091.6569999999999</v>
      </c>
      <c r="T12" s="3">
        <v>372159</v>
      </c>
      <c r="U12" s="3">
        <v>301</v>
      </c>
      <c r="V12" s="3">
        <v>3360.0706</v>
      </c>
      <c r="W12" s="3">
        <v>5389.5493999999999</v>
      </c>
    </row>
    <row r="13" spans="2:23">
      <c r="B13" s="1" t="s">
        <v>20</v>
      </c>
      <c r="C13" s="3">
        <v>27</v>
      </c>
      <c r="D13" s="3">
        <v>671</v>
      </c>
      <c r="E13" s="3">
        <v>53701</v>
      </c>
      <c r="F13" s="3">
        <v>396844</v>
      </c>
      <c r="G13" s="3">
        <v>1521681</v>
      </c>
      <c r="H13" s="3">
        <v>45</v>
      </c>
      <c r="I13" s="3">
        <v>1</v>
      </c>
      <c r="J13" s="3">
        <v>24</v>
      </c>
      <c r="K13" s="3">
        <v>0</v>
      </c>
      <c r="L13" s="3">
        <v>710</v>
      </c>
      <c r="M13" s="3">
        <v>4</v>
      </c>
      <c r="N13" s="3">
        <v>80.031300000000002</v>
      </c>
      <c r="O13" s="3">
        <v>61.684899999999999</v>
      </c>
      <c r="P13" s="3">
        <v>2493</v>
      </c>
      <c r="Q13" s="3">
        <v>43</v>
      </c>
      <c r="R13" s="3">
        <v>591.42179999999996</v>
      </c>
      <c r="S13" s="3">
        <v>403.63409999999999</v>
      </c>
      <c r="T13" s="3">
        <v>9377</v>
      </c>
      <c r="U13" s="3">
        <v>301</v>
      </c>
      <c r="V13" s="3">
        <v>2267.7809000000002</v>
      </c>
      <c r="W13" s="3">
        <v>1541.3258000000001</v>
      </c>
    </row>
    <row r="14" spans="2:23">
      <c r="B14" s="1" t="s">
        <v>21</v>
      </c>
      <c r="C14" s="3">
        <v>31</v>
      </c>
      <c r="D14" s="3">
        <v>47</v>
      </c>
      <c r="E14" s="3">
        <v>2649</v>
      </c>
      <c r="F14" s="3">
        <v>22273</v>
      </c>
      <c r="G14" s="3">
        <v>94726</v>
      </c>
      <c r="H14" s="3">
        <v>5</v>
      </c>
      <c r="I14" s="3">
        <v>1</v>
      </c>
      <c r="J14" s="3">
        <v>1</v>
      </c>
      <c r="K14" s="3">
        <v>0</v>
      </c>
      <c r="L14" s="3">
        <v>315</v>
      </c>
      <c r="M14" s="3">
        <v>9</v>
      </c>
      <c r="N14" s="3">
        <v>56.361699999999999</v>
      </c>
      <c r="O14" s="3">
        <v>73.531099999999995</v>
      </c>
      <c r="P14" s="3">
        <v>2411</v>
      </c>
      <c r="Q14" s="3">
        <v>91</v>
      </c>
      <c r="R14" s="3">
        <v>473.89359999999999</v>
      </c>
      <c r="S14" s="3">
        <v>540.12450000000001</v>
      </c>
      <c r="T14" s="3">
        <v>10121</v>
      </c>
      <c r="U14" s="3">
        <v>332</v>
      </c>
      <c r="V14" s="3">
        <v>2015.4467999999999</v>
      </c>
      <c r="W14" s="3">
        <v>2262.3335000000002</v>
      </c>
    </row>
    <row r="15" spans="2:23">
      <c r="B15" s="1" t="s">
        <v>22</v>
      </c>
      <c r="C15" s="3">
        <v>24</v>
      </c>
      <c r="D15" s="3">
        <v>195</v>
      </c>
      <c r="E15" s="3">
        <v>31592</v>
      </c>
      <c r="F15" s="3">
        <v>314346</v>
      </c>
      <c r="G15" s="3">
        <v>1422256</v>
      </c>
      <c r="H15" s="3">
        <v>29</v>
      </c>
      <c r="I15" s="3">
        <v>1</v>
      </c>
      <c r="J15" s="3">
        <v>8</v>
      </c>
      <c r="K15" s="3">
        <v>0</v>
      </c>
      <c r="L15" s="3">
        <v>1449</v>
      </c>
      <c r="M15" s="3">
        <v>5</v>
      </c>
      <c r="N15" s="3">
        <v>162.0103</v>
      </c>
      <c r="O15" s="3">
        <v>199.9051</v>
      </c>
      <c r="P15" s="3">
        <v>11028</v>
      </c>
      <c r="Q15" s="3">
        <v>64</v>
      </c>
      <c r="R15" s="3">
        <v>1612.0308</v>
      </c>
      <c r="S15" s="3">
        <v>1941.2693999999999</v>
      </c>
      <c r="T15" s="3">
        <v>51798</v>
      </c>
      <c r="U15" s="3">
        <v>326</v>
      </c>
      <c r="V15" s="3">
        <v>7293.6205</v>
      </c>
      <c r="W15" s="3">
        <v>9182.4341999999997</v>
      </c>
    </row>
    <row r="16" spans="2:23">
      <c r="B16" s="1" t="s">
        <v>23</v>
      </c>
      <c r="C16" s="3">
        <v>1</v>
      </c>
      <c r="D16" s="3">
        <v>5</v>
      </c>
      <c r="E16" s="3">
        <v>2293</v>
      </c>
      <c r="F16" s="3">
        <v>24213</v>
      </c>
      <c r="G16" s="3">
        <v>107674</v>
      </c>
      <c r="H16" s="3">
        <v>5</v>
      </c>
      <c r="I16" s="3">
        <v>5</v>
      </c>
      <c r="J16" s="3">
        <v>5</v>
      </c>
      <c r="K16" s="3">
        <v>0</v>
      </c>
      <c r="L16" s="3">
        <v>1825</v>
      </c>
      <c r="M16" s="3">
        <v>7</v>
      </c>
      <c r="N16" s="3">
        <v>458.6</v>
      </c>
      <c r="O16" s="3">
        <v>703.51250000000005</v>
      </c>
      <c r="P16" s="3">
        <v>18971</v>
      </c>
      <c r="Q16" s="3">
        <v>70</v>
      </c>
      <c r="R16" s="3">
        <v>4842.6000000000004</v>
      </c>
      <c r="S16" s="3">
        <v>7293.9384</v>
      </c>
      <c r="T16" s="3">
        <v>85021</v>
      </c>
      <c r="U16" s="3">
        <v>340</v>
      </c>
      <c r="V16" s="3">
        <v>21534.799999999999</v>
      </c>
      <c r="W16" s="3">
        <v>32771.976799999997</v>
      </c>
    </row>
    <row r="17" spans="2:23">
      <c r="B17" s="1" t="s">
        <v>24</v>
      </c>
      <c r="C17" s="3">
        <v>596</v>
      </c>
      <c r="D17" s="3">
        <v>41813</v>
      </c>
      <c r="E17" s="3">
        <v>5388285</v>
      </c>
      <c r="F17" s="3">
        <v>54337379</v>
      </c>
      <c r="G17" s="3">
        <v>263168738</v>
      </c>
      <c r="H17" s="3">
        <v>105</v>
      </c>
      <c r="I17" s="3">
        <v>17</v>
      </c>
      <c r="J17" s="3">
        <v>70</v>
      </c>
      <c r="K17" s="3">
        <v>0</v>
      </c>
      <c r="L17" s="3">
        <v>3878</v>
      </c>
      <c r="M17" s="3">
        <v>2</v>
      </c>
      <c r="N17" s="3">
        <v>128.8663</v>
      </c>
      <c r="O17" s="3">
        <v>193.38120000000001</v>
      </c>
      <c r="P17" s="3">
        <v>39951</v>
      </c>
      <c r="Q17" s="3">
        <v>50</v>
      </c>
      <c r="R17" s="3">
        <v>1299.5331000000001</v>
      </c>
      <c r="S17" s="3">
        <v>1970.5778</v>
      </c>
      <c r="T17" s="3">
        <v>196734</v>
      </c>
      <c r="U17" s="3">
        <v>301</v>
      </c>
      <c r="V17" s="3">
        <v>6293.9453999999996</v>
      </c>
      <c r="W17" s="3">
        <v>9611.5031999999992</v>
      </c>
    </row>
    <row r="18" spans="2:23">
      <c r="B18" s="1" t="s">
        <v>25</v>
      </c>
      <c r="C18" s="3">
        <v>483</v>
      </c>
      <c r="D18" s="3">
        <v>34114</v>
      </c>
      <c r="E18" s="3">
        <v>4541614</v>
      </c>
      <c r="F18" s="3">
        <v>45542863</v>
      </c>
      <c r="G18" s="3">
        <v>220437824</v>
      </c>
      <c r="H18" s="3">
        <v>101</v>
      </c>
      <c r="I18" s="3">
        <v>20</v>
      </c>
      <c r="J18" s="3">
        <v>70</v>
      </c>
      <c r="K18" s="3">
        <v>0</v>
      </c>
      <c r="L18" s="3">
        <v>5085</v>
      </c>
      <c r="M18" s="3">
        <v>1</v>
      </c>
      <c r="N18" s="3">
        <v>133.13050000000001</v>
      </c>
      <c r="O18" s="3">
        <v>200.09530000000001</v>
      </c>
      <c r="P18" s="3">
        <v>49857</v>
      </c>
      <c r="Q18" s="3">
        <v>45</v>
      </c>
      <c r="R18" s="3">
        <v>1335.0197000000001</v>
      </c>
      <c r="S18" s="3">
        <v>2035.5450000000001</v>
      </c>
      <c r="T18" s="3">
        <v>236992</v>
      </c>
      <c r="U18" s="3">
        <v>301</v>
      </c>
      <c r="V18" s="3">
        <v>6461.7993999999999</v>
      </c>
      <c r="W18" s="3">
        <v>9924.2898999999998</v>
      </c>
    </row>
    <row r="19" spans="2:23">
      <c r="B19" s="1" t="s">
        <v>26</v>
      </c>
      <c r="C19" s="3">
        <v>207</v>
      </c>
      <c r="D19" s="3">
        <v>13806</v>
      </c>
      <c r="E19" s="3">
        <v>1899595</v>
      </c>
      <c r="F19" s="3">
        <v>19312064</v>
      </c>
      <c r="G19" s="3">
        <v>92915100</v>
      </c>
      <c r="H19" s="3">
        <v>97</v>
      </c>
      <c r="I19" s="3">
        <v>24</v>
      </c>
      <c r="J19" s="3">
        <v>66</v>
      </c>
      <c r="K19" s="3">
        <v>0</v>
      </c>
      <c r="L19" s="3">
        <v>3838</v>
      </c>
      <c r="M19" s="3">
        <v>3</v>
      </c>
      <c r="N19" s="3">
        <v>137.59200000000001</v>
      </c>
      <c r="O19" s="3">
        <v>197.4169</v>
      </c>
      <c r="P19" s="3">
        <v>39823</v>
      </c>
      <c r="Q19" s="3">
        <v>48</v>
      </c>
      <c r="R19" s="3">
        <v>1398.8167000000001</v>
      </c>
      <c r="S19" s="3">
        <v>2054.0408000000002</v>
      </c>
      <c r="T19" s="3">
        <v>197119</v>
      </c>
      <c r="U19" s="3">
        <v>301</v>
      </c>
      <c r="V19" s="3">
        <v>6730.0522000000001</v>
      </c>
      <c r="W19" s="3">
        <v>9916.5370999999996</v>
      </c>
    </row>
    <row r="20" spans="2:23">
      <c r="B20" s="1" t="s">
        <v>27</v>
      </c>
      <c r="C20" s="3">
        <v>126</v>
      </c>
      <c r="D20" s="3">
        <v>8282</v>
      </c>
      <c r="E20" s="3">
        <v>1155393</v>
      </c>
      <c r="F20" s="3">
        <v>11804937</v>
      </c>
      <c r="G20" s="3">
        <v>56197481</v>
      </c>
      <c r="H20" s="3">
        <v>91</v>
      </c>
      <c r="I20" s="3">
        <v>22</v>
      </c>
      <c r="J20" s="3">
        <v>65</v>
      </c>
      <c r="K20" s="3">
        <v>0</v>
      </c>
      <c r="L20" s="3">
        <v>4198</v>
      </c>
      <c r="M20" s="3">
        <v>2</v>
      </c>
      <c r="N20" s="3">
        <v>139.50649999999999</v>
      </c>
      <c r="O20" s="3">
        <v>214.12700000000001</v>
      </c>
      <c r="P20" s="3">
        <v>51450</v>
      </c>
      <c r="Q20" s="3">
        <v>53</v>
      </c>
      <c r="R20" s="3">
        <v>1425.3726999999999</v>
      </c>
      <c r="S20" s="3">
        <v>2275.6257999999998</v>
      </c>
      <c r="T20" s="3">
        <v>217095</v>
      </c>
      <c r="U20" s="3">
        <v>301</v>
      </c>
      <c r="V20" s="3">
        <v>6785.4964</v>
      </c>
      <c r="W20" s="3">
        <v>10724.445</v>
      </c>
    </row>
    <row r="21" spans="2:23">
      <c r="B21" s="1" t="s">
        <v>28</v>
      </c>
      <c r="C21" s="3">
        <v>11</v>
      </c>
      <c r="D21" s="3">
        <v>821</v>
      </c>
      <c r="E21" s="3">
        <v>102707</v>
      </c>
      <c r="F21" s="3">
        <v>1062454</v>
      </c>
      <c r="G21" s="3">
        <v>5032707</v>
      </c>
      <c r="H21" s="3">
        <v>128</v>
      </c>
      <c r="I21" s="3">
        <v>49</v>
      </c>
      <c r="J21" s="3">
        <v>74</v>
      </c>
      <c r="K21" s="3">
        <v>0</v>
      </c>
      <c r="L21" s="3">
        <v>2678</v>
      </c>
      <c r="M21" s="3">
        <v>6</v>
      </c>
      <c r="N21" s="3">
        <v>125.09990000000001</v>
      </c>
      <c r="O21" s="3">
        <v>208.7886</v>
      </c>
      <c r="P21" s="3">
        <v>27802</v>
      </c>
      <c r="Q21" s="3">
        <v>57</v>
      </c>
      <c r="R21" s="3">
        <v>1294.0974000000001</v>
      </c>
      <c r="S21" s="3">
        <v>2204.5724</v>
      </c>
      <c r="T21" s="3">
        <v>136922</v>
      </c>
      <c r="U21" s="3">
        <v>302</v>
      </c>
      <c r="V21" s="3">
        <v>6129.9719999999998</v>
      </c>
      <c r="W21" s="3">
        <v>10504.2022</v>
      </c>
    </row>
    <row r="22" spans="2:23">
      <c r="B22" s="1" t="s">
        <v>29</v>
      </c>
      <c r="C22" s="3">
        <v>7</v>
      </c>
      <c r="D22" s="3">
        <v>427</v>
      </c>
      <c r="E22" s="3">
        <v>65152</v>
      </c>
      <c r="F22" s="3">
        <v>667739</v>
      </c>
      <c r="G22" s="3">
        <v>3167760</v>
      </c>
      <c r="H22" s="3">
        <v>76</v>
      </c>
      <c r="I22" s="3">
        <v>43</v>
      </c>
      <c r="J22" s="3">
        <v>61</v>
      </c>
      <c r="K22" s="3">
        <v>0</v>
      </c>
      <c r="L22" s="3">
        <v>2679</v>
      </c>
      <c r="M22" s="3">
        <v>6</v>
      </c>
      <c r="N22" s="3">
        <v>152.58080000000001</v>
      </c>
      <c r="O22" s="3">
        <v>234.6036</v>
      </c>
      <c r="P22" s="3">
        <v>28897</v>
      </c>
      <c r="Q22" s="3">
        <v>60</v>
      </c>
      <c r="R22" s="3">
        <v>1563.7916</v>
      </c>
      <c r="S22" s="3">
        <v>2480.4825999999998</v>
      </c>
      <c r="T22" s="3">
        <v>139074</v>
      </c>
      <c r="U22" s="3">
        <v>312</v>
      </c>
      <c r="V22" s="3">
        <v>7418.6417000000001</v>
      </c>
      <c r="W22" s="3">
        <v>11775.381100000001</v>
      </c>
    </row>
    <row r="23" spans="2:23">
      <c r="B23" s="1" t="s">
        <v>30</v>
      </c>
      <c r="C23" s="3">
        <v>3</v>
      </c>
      <c r="D23" s="3">
        <v>185</v>
      </c>
      <c r="E23" s="3">
        <v>29569</v>
      </c>
      <c r="F23" s="3">
        <v>294661</v>
      </c>
      <c r="G23" s="3">
        <v>1432547</v>
      </c>
      <c r="H23" s="3">
        <v>79</v>
      </c>
      <c r="I23" s="3">
        <v>45</v>
      </c>
      <c r="J23" s="3">
        <v>61</v>
      </c>
      <c r="K23" s="3">
        <v>0</v>
      </c>
      <c r="L23" s="3">
        <v>2682</v>
      </c>
      <c r="M23" s="3">
        <v>8</v>
      </c>
      <c r="N23" s="3">
        <v>159.83240000000001</v>
      </c>
      <c r="O23" s="3">
        <v>276.0043</v>
      </c>
      <c r="P23" s="3">
        <v>28409</v>
      </c>
      <c r="Q23" s="3">
        <v>74</v>
      </c>
      <c r="R23" s="3">
        <v>1592.7621999999999</v>
      </c>
      <c r="S23" s="3">
        <v>2840.4630999999999</v>
      </c>
      <c r="T23" s="3">
        <v>138081</v>
      </c>
      <c r="U23" s="3">
        <v>351</v>
      </c>
      <c r="V23" s="3">
        <v>7743.4973</v>
      </c>
      <c r="W23" s="3">
        <v>13856.4328</v>
      </c>
    </row>
    <row r="24" spans="2:23">
      <c r="B24" s="1" t="s">
        <v>31</v>
      </c>
      <c r="C24" s="3">
        <v>1</v>
      </c>
      <c r="D24" s="3">
        <v>46</v>
      </c>
      <c r="E24" s="3">
        <v>10004</v>
      </c>
      <c r="F24" s="3">
        <v>100750</v>
      </c>
      <c r="G24" s="3">
        <v>486195</v>
      </c>
      <c r="H24" s="3">
        <v>46</v>
      </c>
      <c r="I24" s="3">
        <v>46</v>
      </c>
      <c r="J24" s="3">
        <v>46</v>
      </c>
      <c r="K24" s="3">
        <v>0</v>
      </c>
      <c r="L24" s="3">
        <v>2719</v>
      </c>
      <c r="M24" s="3">
        <v>8</v>
      </c>
      <c r="N24" s="3">
        <v>217.47829999999999</v>
      </c>
      <c r="O24" s="3">
        <v>478.13029999999998</v>
      </c>
      <c r="P24" s="3">
        <v>28504</v>
      </c>
      <c r="Q24" s="3">
        <v>99</v>
      </c>
      <c r="R24" s="3">
        <v>2190.2174</v>
      </c>
      <c r="S24" s="3">
        <v>4920.6983</v>
      </c>
      <c r="T24" s="3">
        <v>139641</v>
      </c>
      <c r="U24" s="3">
        <v>402</v>
      </c>
      <c r="V24" s="3">
        <v>10569.4565</v>
      </c>
      <c r="W24" s="3">
        <v>23956.183799999999</v>
      </c>
    </row>
    <row r="25" spans="2:23">
      <c r="B25" s="1" t="s">
        <v>32</v>
      </c>
      <c r="C25" s="3">
        <v>10</v>
      </c>
      <c r="D25" s="3">
        <v>12</v>
      </c>
      <c r="E25" s="3">
        <v>342</v>
      </c>
      <c r="F25" s="3">
        <v>2785</v>
      </c>
      <c r="G25" s="3">
        <v>9503</v>
      </c>
      <c r="H25" s="3">
        <v>2</v>
      </c>
      <c r="I25" s="3">
        <v>1</v>
      </c>
      <c r="J25" s="3">
        <v>1</v>
      </c>
      <c r="K25" s="3">
        <v>0</v>
      </c>
      <c r="L25" s="3">
        <v>71</v>
      </c>
      <c r="M25" s="3">
        <v>9</v>
      </c>
      <c r="N25" s="3">
        <v>28.5</v>
      </c>
      <c r="O25" s="3">
        <v>15.8719</v>
      </c>
      <c r="P25" s="3">
        <v>483</v>
      </c>
      <c r="Q25" s="3">
        <v>62</v>
      </c>
      <c r="R25" s="3">
        <v>232.08330000000001</v>
      </c>
      <c r="S25" s="3">
        <v>135.44460000000001</v>
      </c>
      <c r="T25" s="3">
        <v>1348</v>
      </c>
      <c r="U25" s="3">
        <v>339</v>
      </c>
      <c r="V25" s="3">
        <v>791.91669999999999</v>
      </c>
      <c r="W25" s="3">
        <v>332.6979</v>
      </c>
    </row>
    <row r="26" spans="2:23">
      <c r="B26" s="1" t="s">
        <v>33</v>
      </c>
      <c r="C26" s="3">
        <v>11</v>
      </c>
      <c r="D26" s="3">
        <v>83</v>
      </c>
      <c r="E26" s="3">
        <v>99388</v>
      </c>
      <c r="F26" s="3">
        <v>5012087</v>
      </c>
      <c r="G26" s="3">
        <v>14563123</v>
      </c>
      <c r="H26" s="3">
        <v>15</v>
      </c>
      <c r="I26" s="3">
        <v>3</v>
      </c>
      <c r="J26" s="3">
        <v>7</v>
      </c>
      <c r="K26" s="3">
        <v>0</v>
      </c>
      <c r="L26" s="3">
        <v>9908</v>
      </c>
      <c r="M26" s="3">
        <v>1</v>
      </c>
      <c r="N26" s="3">
        <v>1197.4458</v>
      </c>
      <c r="O26" s="3">
        <v>2219.9782</v>
      </c>
      <c r="P26" s="3">
        <v>467793</v>
      </c>
      <c r="Q26" s="3">
        <v>72</v>
      </c>
      <c r="R26" s="3">
        <v>60386.590400000001</v>
      </c>
      <c r="S26" s="3">
        <v>109422.8251</v>
      </c>
      <c r="T26" s="3">
        <v>1379326</v>
      </c>
      <c r="U26" s="3">
        <v>301</v>
      </c>
      <c r="V26" s="3">
        <v>175459.31330000001</v>
      </c>
      <c r="W26" s="3">
        <v>315596.2586</v>
      </c>
    </row>
    <row r="27" spans="2:23">
      <c r="B27" s="1" t="s">
        <v>34</v>
      </c>
      <c r="C27" s="3">
        <v>2</v>
      </c>
      <c r="D27" s="3">
        <v>33</v>
      </c>
      <c r="E27" s="3">
        <v>992</v>
      </c>
      <c r="F27" s="3">
        <v>17912</v>
      </c>
      <c r="G27" s="3">
        <v>77368</v>
      </c>
      <c r="H27" s="3">
        <v>23</v>
      </c>
      <c r="I27" s="3">
        <v>10</v>
      </c>
      <c r="J27" s="3">
        <v>16</v>
      </c>
      <c r="K27" s="3">
        <v>0</v>
      </c>
      <c r="L27" s="3">
        <v>95</v>
      </c>
      <c r="M27" s="3">
        <v>4</v>
      </c>
      <c r="N27" s="3">
        <v>30.060600000000001</v>
      </c>
      <c r="O27" s="3">
        <v>25.886600000000001</v>
      </c>
      <c r="P27" s="3">
        <v>1968</v>
      </c>
      <c r="Q27" s="3">
        <v>43</v>
      </c>
      <c r="R27" s="3">
        <v>542.78790000000004</v>
      </c>
      <c r="S27" s="3">
        <v>515.46559999999999</v>
      </c>
      <c r="T27" s="3">
        <v>8190</v>
      </c>
      <c r="U27" s="3">
        <v>305</v>
      </c>
      <c r="V27" s="3">
        <v>2344.4848000000002</v>
      </c>
      <c r="W27" s="3">
        <v>2199.2298999999998</v>
      </c>
    </row>
    <row r="28" spans="2:23">
      <c r="B28" s="1" t="s">
        <v>35</v>
      </c>
      <c r="C28" s="3">
        <v>6</v>
      </c>
      <c r="D28" s="3">
        <v>6</v>
      </c>
      <c r="E28" s="3">
        <v>1693</v>
      </c>
      <c r="F28" s="3">
        <v>21132</v>
      </c>
      <c r="G28" s="3">
        <v>80324</v>
      </c>
      <c r="H28" s="3">
        <v>1</v>
      </c>
      <c r="I28" s="3">
        <v>1</v>
      </c>
      <c r="J28" s="3">
        <v>1</v>
      </c>
      <c r="K28" s="3">
        <v>0</v>
      </c>
      <c r="L28" s="3">
        <v>379</v>
      </c>
      <c r="M28" s="3">
        <v>245</v>
      </c>
      <c r="N28" s="3">
        <v>282.16669999999999</v>
      </c>
      <c r="O28" s="3">
        <v>44.663200000000003</v>
      </c>
      <c r="P28" s="3">
        <v>3979</v>
      </c>
      <c r="Q28" s="3">
        <v>3162</v>
      </c>
      <c r="R28" s="3">
        <v>3522</v>
      </c>
      <c r="S28" s="3">
        <v>339.87009999999998</v>
      </c>
      <c r="T28" s="3">
        <v>16062</v>
      </c>
      <c r="U28" s="3">
        <v>12571</v>
      </c>
      <c r="V28" s="3">
        <v>13387.3333</v>
      </c>
      <c r="W28" s="3">
        <v>1218.3952999999999</v>
      </c>
    </row>
    <row r="29" spans="2:23">
      <c r="B29" s="1" t="s">
        <v>36</v>
      </c>
      <c r="C29" s="3">
        <v>6</v>
      </c>
      <c r="D29" s="3">
        <v>9</v>
      </c>
      <c r="E29" s="3">
        <v>284</v>
      </c>
      <c r="F29" s="3">
        <v>6246</v>
      </c>
      <c r="G29" s="3">
        <v>22883</v>
      </c>
      <c r="H29" s="3">
        <v>3</v>
      </c>
      <c r="I29" s="3">
        <v>1</v>
      </c>
      <c r="J29" s="3">
        <v>1</v>
      </c>
      <c r="K29" s="3">
        <v>0</v>
      </c>
      <c r="L29" s="3">
        <v>53</v>
      </c>
      <c r="M29" s="3">
        <v>8</v>
      </c>
      <c r="N29" s="3">
        <v>31.555599999999998</v>
      </c>
      <c r="O29" s="3">
        <v>12.658899999999999</v>
      </c>
      <c r="P29" s="3">
        <v>1852</v>
      </c>
      <c r="Q29" s="3">
        <v>210</v>
      </c>
      <c r="R29" s="3">
        <v>694</v>
      </c>
      <c r="S29" s="3">
        <v>437.52690000000001</v>
      </c>
      <c r="T29" s="3">
        <v>4114</v>
      </c>
      <c r="U29" s="3">
        <v>987</v>
      </c>
      <c r="V29" s="3">
        <v>2542.5556000000001</v>
      </c>
      <c r="W29" s="3">
        <v>966.11469999999997</v>
      </c>
    </row>
    <row r="30" spans="2:23">
      <c r="B30" s="1" t="s">
        <v>37</v>
      </c>
      <c r="C30" s="3">
        <v>2</v>
      </c>
      <c r="D30" s="3">
        <v>26</v>
      </c>
      <c r="E30" s="3">
        <v>4978</v>
      </c>
      <c r="F30" s="3">
        <v>58482</v>
      </c>
      <c r="G30" s="3">
        <v>257631</v>
      </c>
      <c r="H30" s="3">
        <v>18</v>
      </c>
      <c r="I30" s="3">
        <v>8</v>
      </c>
      <c r="J30" s="3">
        <v>13</v>
      </c>
      <c r="K30" s="3">
        <v>0</v>
      </c>
      <c r="L30" s="3">
        <v>963</v>
      </c>
      <c r="M30" s="3">
        <v>3</v>
      </c>
      <c r="N30" s="3">
        <v>191.4615</v>
      </c>
      <c r="O30" s="3">
        <v>206.23500000000001</v>
      </c>
      <c r="P30" s="3">
        <v>9564</v>
      </c>
      <c r="Q30" s="3">
        <v>76</v>
      </c>
      <c r="R30" s="3">
        <v>2249.3076999999998</v>
      </c>
      <c r="S30" s="3">
        <v>2142.4614999999999</v>
      </c>
      <c r="T30" s="3">
        <v>39008</v>
      </c>
      <c r="U30" s="3">
        <v>404</v>
      </c>
      <c r="V30" s="3">
        <v>9908.8845999999994</v>
      </c>
      <c r="W30" s="3">
        <v>9310.4480000000003</v>
      </c>
    </row>
    <row r="31" spans="2:23">
      <c r="B31" s="1" t="s">
        <v>38</v>
      </c>
      <c r="C31" s="3">
        <v>4</v>
      </c>
      <c r="D31" s="3">
        <v>281</v>
      </c>
      <c r="E31" s="3">
        <v>17223</v>
      </c>
      <c r="F31" s="3">
        <v>184726</v>
      </c>
      <c r="G31" s="3">
        <v>838470</v>
      </c>
      <c r="H31" s="3">
        <v>138</v>
      </c>
      <c r="I31" s="3">
        <v>7</v>
      </c>
      <c r="J31" s="3">
        <v>70</v>
      </c>
      <c r="K31" s="3">
        <v>0</v>
      </c>
      <c r="L31" s="3">
        <v>646</v>
      </c>
      <c r="M31" s="3">
        <v>4</v>
      </c>
      <c r="N31" s="3">
        <v>61.291800000000002</v>
      </c>
      <c r="O31" s="3">
        <v>89.319699999999997</v>
      </c>
      <c r="P31" s="3">
        <v>6862</v>
      </c>
      <c r="Q31" s="3">
        <v>71</v>
      </c>
      <c r="R31" s="3">
        <v>657.38789999999995</v>
      </c>
      <c r="S31" s="3">
        <v>983.09280000000001</v>
      </c>
      <c r="T31" s="3">
        <v>32803</v>
      </c>
      <c r="U31" s="3">
        <v>301</v>
      </c>
      <c r="V31" s="3">
        <v>2983.8789999999999</v>
      </c>
      <c r="W31" s="3">
        <v>4753.0009</v>
      </c>
    </row>
    <row r="32" spans="2:23">
      <c r="B32" s="1" t="s">
        <v>39</v>
      </c>
      <c r="C32" s="3">
        <v>1</v>
      </c>
      <c r="D32" s="3">
        <v>7</v>
      </c>
      <c r="E32" s="3">
        <v>637</v>
      </c>
      <c r="F32" s="3">
        <v>8087</v>
      </c>
      <c r="G32" s="3">
        <v>40498</v>
      </c>
      <c r="H32" s="3">
        <v>7</v>
      </c>
      <c r="I32" s="3">
        <v>7</v>
      </c>
      <c r="J32" s="3">
        <v>7</v>
      </c>
      <c r="K32" s="3">
        <v>0</v>
      </c>
      <c r="L32" s="3">
        <v>520</v>
      </c>
      <c r="M32" s="3">
        <v>11</v>
      </c>
      <c r="N32" s="3">
        <v>91</v>
      </c>
      <c r="O32" s="3">
        <v>175.2525</v>
      </c>
      <c r="P32" s="3">
        <v>6237</v>
      </c>
      <c r="Q32" s="3">
        <v>107</v>
      </c>
      <c r="R32" s="3">
        <v>1155.2856999999999</v>
      </c>
      <c r="S32" s="3">
        <v>2079.0605999999998</v>
      </c>
      <c r="T32" s="3">
        <v>32697</v>
      </c>
      <c r="U32" s="3">
        <v>323</v>
      </c>
      <c r="V32" s="3">
        <v>5785.4286000000002</v>
      </c>
      <c r="W32" s="3">
        <v>11003.343800000001</v>
      </c>
    </row>
    <row r="34" spans="2:7">
      <c r="B34" s="2" t="s">
        <v>40</v>
      </c>
      <c r="C34" s="3">
        <f>SUM(C4:C32)</f>
        <v>4283</v>
      </c>
      <c r="D34" s="3">
        <f t="shared" ref="D34:G34" si="0">SUM(D4:D32)</f>
        <v>306537</v>
      </c>
      <c r="E34" s="3">
        <f t="shared" si="0"/>
        <v>31147298</v>
      </c>
      <c r="F34" s="3">
        <f t="shared" si="0"/>
        <v>336054744</v>
      </c>
      <c r="G34" s="3">
        <f t="shared" si="0"/>
        <v>1578683988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B2:W3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RowHeight="16"/>
  <cols>
    <col min="1" max="1" width="10.7109375" style="2"/>
    <col min="2" max="2" width="8.42578125" style="2" customWidth="1"/>
    <col min="3" max="3" width="10.5703125" style="2" customWidth="1"/>
    <col min="4" max="4" width="12.85546875" style="2" customWidth="1"/>
    <col min="5" max="6" width="13.42578125" style="2" customWidth="1"/>
    <col min="7" max="7" width="16.85546875" style="2" customWidth="1"/>
    <col min="8" max="11" width="8.5703125" style="2" bestFit="1" customWidth="1"/>
    <col min="12" max="12" width="6.140625" style="2" bestFit="1" customWidth="1"/>
    <col min="13" max="13" width="5.7109375" style="2" bestFit="1" customWidth="1"/>
    <col min="14" max="15" width="9.28515625" style="2" bestFit="1" customWidth="1"/>
    <col min="16" max="16" width="8.28515625" style="2" bestFit="1" customWidth="1"/>
    <col min="17" max="17" width="7.28515625" style="2" bestFit="1" customWidth="1"/>
    <col min="18" max="20" width="10.28515625" style="2" bestFit="1" customWidth="1"/>
    <col min="21" max="21" width="6.42578125" style="2" bestFit="1" customWidth="1"/>
    <col min="22" max="22" width="11.28515625" style="2" bestFit="1" customWidth="1"/>
    <col min="23" max="23" width="12.28515625" style="2" bestFit="1" customWidth="1"/>
    <col min="24" max="16384" width="10.7109375" style="2"/>
  </cols>
  <sheetData>
    <row r="2" spans="2:23">
      <c r="B2" s="5" t="s">
        <v>0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2</v>
      </c>
      <c r="I2" s="6" t="s">
        <v>3</v>
      </c>
      <c r="J2" s="6" t="s">
        <v>4</v>
      </c>
      <c r="K2" s="6" t="s">
        <v>5</v>
      </c>
      <c r="L2" s="6" t="s">
        <v>2</v>
      </c>
      <c r="M2" s="6" t="s">
        <v>3</v>
      </c>
      <c r="N2" s="6" t="s">
        <v>4</v>
      </c>
      <c r="O2" s="6" t="s">
        <v>5</v>
      </c>
      <c r="P2" s="6" t="s">
        <v>2</v>
      </c>
      <c r="Q2" s="6" t="s">
        <v>3</v>
      </c>
      <c r="R2" s="6" t="s">
        <v>4</v>
      </c>
      <c r="S2" s="6" t="s">
        <v>5</v>
      </c>
      <c r="T2" s="6" t="s">
        <v>2</v>
      </c>
      <c r="U2" s="6" t="s">
        <v>3</v>
      </c>
      <c r="V2" s="6" t="s">
        <v>4</v>
      </c>
      <c r="W2" s="6" t="s">
        <v>5</v>
      </c>
    </row>
    <row r="3" spans="2:23">
      <c r="B3" s="6"/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41</v>
      </c>
      <c r="I3" s="6" t="s">
        <v>41</v>
      </c>
      <c r="J3" s="6" t="s">
        <v>41</v>
      </c>
      <c r="K3" s="6" t="s">
        <v>41</v>
      </c>
      <c r="L3" s="6" t="s">
        <v>42</v>
      </c>
      <c r="M3" s="6" t="s">
        <v>42</v>
      </c>
      <c r="N3" s="6" t="s">
        <v>42</v>
      </c>
      <c r="O3" s="6" t="s">
        <v>42</v>
      </c>
      <c r="P3" s="6" t="s">
        <v>43</v>
      </c>
      <c r="Q3" s="6" t="s">
        <v>43</v>
      </c>
      <c r="R3" s="6" t="s">
        <v>43</v>
      </c>
      <c r="S3" s="6" t="s">
        <v>43</v>
      </c>
      <c r="T3" s="6" t="s">
        <v>44</v>
      </c>
      <c r="U3" s="6" t="s">
        <v>44</v>
      </c>
      <c r="V3" s="6" t="s">
        <v>44</v>
      </c>
      <c r="W3" s="6" t="s">
        <v>44</v>
      </c>
    </row>
    <row r="4" spans="2:23">
      <c r="B4" s="1" t="s">
        <v>11</v>
      </c>
      <c r="C4" s="4">
        <v>78</v>
      </c>
      <c r="D4" s="4">
        <v>7964</v>
      </c>
      <c r="E4" s="4">
        <v>233935</v>
      </c>
      <c r="F4" s="4">
        <v>3600621</v>
      </c>
      <c r="G4" s="4">
        <v>17609392</v>
      </c>
      <c r="H4" s="4">
        <v>118</v>
      </c>
      <c r="I4" s="4">
        <v>93</v>
      </c>
      <c r="J4" s="4">
        <v>102</v>
      </c>
      <c r="K4" s="4">
        <v>0</v>
      </c>
      <c r="L4" s="4">
        <v>1005</v>
      </c>
      <c r="M4" s="4">
        <v>0</v>
      </c>
      <c r="N4" s="4">
        <v>29.374099999999999</v>
      </c>
      <c r="O4" s="4">
        <v>94.147099999999995</v>
      </c>
      <c r="P4" s="4">
        <v>17359</v>
      </c>
      <c r="Q4" s="4">
        <v>0</v>
      </c>
      <c r="R4" s="4">
        <v>452.1121</v>
      </c>
      <c r="S4" s="4">
        <v>1449.106</v>
      </c>
      <c r="T4" s="4">
        <v>83467</v>
      </c>
      <c r="U4" s="4">
        <v>0</v>
      </c>
      <c r="V4" s="4">
        <v>2211.1241</v>
      </c>
      <c r="W4" s="4">
        <v>7104.5483999999997</v>
      </c>
    </row>
    <row r="5" spans="2:23">
      <c r="B5" s="1" t="s">
        <v>12</v>
      </c>
      <c r="C5" s="4">
        <v>538</v>
      </c>
      <c r="D5" s="4">
        <v>88504</v>
      </c>
      <c r="E5" s="4">
        <v>3651933</v>
      </c>
      <c r="F5" s="4">
        <v>38821271</v>
      </c>
      <c r="G5" s="4">
        <v>188917852</v>
      </c>
      <c r="H5" s="4">
        <v>265</v>
      </c>
      <c r="I5" s="4">
        <v>8</v>
      </c>
      <c r="J5" s="4">
        <v>164</v>
      </c>
      <c r="K5" s="4">
        <v>0</v>
      </c>
      <c r="L5" s="4">
        <v>2204</v>
      </c>
      <c r="M5" s="4">
        <v>0</v>
      </c>
      <c r="N5" s="4">
        <v>41.262900000000002</v>
      </c>
      <c r="O5" s="4">
        <v>81.599100000000007</v>
      </c>
      <c r="P5" s="4">
        <v>21274</v>
      </c>
      <c r="Q5" s="4">
        <v>0</v>
      </c>
      <c r="R5" s="4">
        <v>438.6386</v>
      </c>
      <c r="S5" s="4">
        <v>870.12149999999997</v>
      </c>
      <c r="T5" s="4">
        <v>102198</v>
      </c>
      <c r="U5" s="4">
        <v>0</v>
      </c>
      <c r="V5" s="4">
        <v>2134.5684999999999</v>
      </c>
      <c r="W5" s="4">
        <v>4340.3805000000002</v>
      </c>
    </row>
    <row r="6" spans="2:23">
      <c r="B6" s="1" t="s">
        <v>13</v>
      </c>
      <c r="C6" s="4">
        <v>408</v>
      </c>
      <c r="D6" s="4">
        <v>48511</v>
      </c>
      <c r="E6" s="4">
        <v>2368624</v>
      </c>
      <c r="F6" s="4">
        <v>20637932</v>
      </c>
      <c r="G6" s="4">
        <v>98424806</v>
      </c>
      <c r="H6" s="4">
        <v>193</v>
      </c>
      <c r="I6" s="4">
        <v>7</v>
      </c>
      <c r="J6" s="4">
        <v>118</v>
      </c>
      <c r="K6" s="4">
        <v>0</v>
      </c>
      <c r="L6" s="4">
        <v>2290</v>
      </c>
      <c r="M6" s="4">
        <v>0</v>
      </c>
      <c r="N6" s="4">
        <v>48.826500000000003</v>
      </c>
      <c r="O6" s="4">
        <v>135.81049999999999</v>
      </c>
      <c r="P6" s="4">
        <v>20752</v>
      </c>
      <c r="Q6" s="4">
        <v>0</v>
      </c>
      <c r="R6" s="4">
        <v>425.42790000000002</v>
      </c>
      <c r="S6" s="4">
        <v>1218.6594</v>
      </c>
      <c r="T6" s="4">
        <v>89674</v>
      </c>
      <c r="U6" s="4">
        <v>0</v>
      </c>
      <c r="V6" s="4">
        <v>2028.9173000000001</v>
      </c>
      <c r="W6" s="4">
        <v>5848.2492000000002</v>
      </c>
    </row>
    <row r="7" spans="2:23">
      <c r="B7" s="1" t="s">
        <v>14</v>
      </c>
      <c r="C7" s="4">
        <v>773</v>
      </c>
      <c r="D7" s="4">
        <v>81040</v>
      </c>
      <c r="E7" s="4">
        <v>7174949</v>
      </c>
      <c r="F7" s="4">
        <v>73067351</v>
      </c>
      <c r="G7" s="4">
        <v>347879847</v>
      </c>
      <c r="H7" s="4">
        <v>153</v>
      </c>
      <c r="I7" s="4">
        <v>28</v>
      </c>
      <c r="J7" s="4">
        <v>104</v>
      </c>
      <c r="K7" s="4">
        <v>0</v>
      </c>
      <c r="L7" s="4">
        <v>6183</v>
      </c>
      <c r="M7" s="4">
        <v>0</v>
      </c>
      <c r="N7" s="4">
        <v>88.535899999999998</v>
      </c>
      <c r="O7" s="4">
        <v>169.4178</v>
      </c>
      <c r="P7" s="4">
        <v>61867</v>
      </c>
      <c r="Q7" s="4">
        <v>0</v>
      </c>
      <c r="R7" s="4">
        <v>901.62080000000003</v>
      </c>
      <c r="S7" s="4">
        <v>1744.3368</v>
      </c>
      <c r="T7" s="4">
        <v>289325</v>
      </c>
      <c r="U7" s="4">
        <v>0</v>
      </c>
      <c r="V7" s="4">
        <v>4292.6931000000004</v>
      </c>
      <c r="W7" s="4">
        <v>8385.0262000000002</v>
      </c>
    </row>
    <row r="8" spans="2:23">
      <c r="B8" s="1" t="s">
        <v>15</v>
      </c>
      <c r="C8" s="4">
        <v>264</v>
      </c>
      <c r="D8" s="4">
        <v>55487</v>
      </c>
      <c r="E8" s="4">
        <v>1329781</v>
      </c>
      <c r="F8" s="4">
        <v>28125383</v>
      </c>
      <c r="G8" s="4">
        <v>101863260</v>
      </c>
      <c r="H8" s="4">
        <v>884</v>
      </c>
      <c r="I8" s="4">
        <v>94</v>
      </c>
      <c r="J8" s="4">
        <v>210</v>
      </c>
      <c r="K8" s="4">
        <v>0</v>
      </c>
      <c r="L8" s="4">
        <v>5190</v>
      </c>
      <c r="M8" s="4">
        <v>0</v>
      </c>
      <c r="N8" s="4">
        <v>23.965599999999998</v>
      </c>
      <c r="O8" s="4">
        <v>76.872900000000001</v>
      </c>
      <c r="P8" s="4">
        <v>150238</v>
      </c>
      <c r="Q8" s="4">
        <v>0</v>
      </c>
      <c r="R8" s="4">
        <v>506.88240000000002</v>
      </c>
      <c r="S8" s="4">
        <v>1762.1650999999999</v>
      </c>
      <c r="T8" s="4">
        <v>520310</v>
      </c>
      <c r="U8" s="4">
        <v>0</v>
      </c>
      <c r="V8" s="4">
        <v>1835.8041000000001</v>
      </c>
      <c r="W8" s="4">
        <v>6153.9605000000001</v>
      </c>
    </row>
    <row r="9" spans="2:23">
      <c r="B9" s="1" t="s">
        <v>16</v>
      </c>
      <c r="C9" s="4">
        <v>173</v>
      </c>
      <c r="D9" s="4">
        <v>12609</v>
      </c>
      <c r="E9" s="4">
        <v>135845</v>
      </c>
      <c r="F9" s="4">
        <v>2572900</v>
      </c>
      <c r="G9" s="4">
        <v>10859382</v>
      </c>
      <c r="H9" s="4">
        <v>134</v>
      </c>
      <c r="I9" s="4">
        <v>33</v>
      </c>
      <c r="J9" s="4">
        <v>72</v>
      </c>
      <c r="K9" s="4">
        <v>0</v>
      </c>
      <c r="L9" s="4">
        <v>238</v>
      </c>
      <c r="M9" s="4">
        <v>0</v>
      </c>
      <c r="N9" s="4">
        <v>10.7737</v>
      </c>
      <c r="O9" s="4">
        <v>19.5566</v>
      </c>
      <c r="P9" s="4">
        <v>4537</v>
      </c>
      <c r="Q9" s="4">
        <v>0</v>
      </c>
      <c r="R9" s="4">
        <v>204.05269999999999</v>
      </c>
      <c r="S9" s="4">
        <v>411.0317</v>
      </c>
      <c r="T9" s="4">
        <v>16876</v>
      </c>
      <c r="U9" s="4">
        <v>0</v>
      </c>
      <c r="V9" s="4">
        <v>861.2405</v>
      </c>
      <c r="W9" s="4">
        <v>1734.0453</v>
      </c>
    </row>
    <row r="10" spans="2:23">
      <c r="B10" s="1" t="s">
        <v>17</v>
      </c>
      <c r="C10" s="4">
        <v>13</v>
      </c>
      <c r="D10" s="4">
        <v>97</v>
      </c>
      <c r="E10" s="4">
        <v>1231</v>
      </c>
      <c r="F10" s="4">
        <v>13712</v>
      </c>
      <c r="G10" s="4">
        <v>51684</v>
      </c>
      <c r="H10" s="4">
        <v>9</v>
      </c>
      <c r="I10" s="4">
        <v>4</v>
      </c>
      <c r="J10" s="4">
        <v>7</v>
      </c>
      <c r="K10" s="4">
        <v>0</v>
      </c>
      <c r="L10" s="4">
        <v>48</v>
      </c>
      <c r="M10" s="4">
        <v>0</v>
      </c>
      <c r="N10" s="4">
        <v>12.6907</v>
      </c>
      <c r="O10" s="4">
        <v>15.050700000000001</v>
      </c>
      <c r="P10" s="4">
        <v>767</v>
      </c>
      <c r="Q10" s="4">
        <v>0</v>
      </c>
      <c r="R10" s="4">
        <v>141.36080000000001</v>
      </c>
      <c r="S10" s="4">
        <v>209.66409999999999</v>
      </c>
      <c r="T10" s="4">
        <v>2884</v>
      </c>
      <c r="U10" s="4">
        <v>0</v>
      </c>
      <c r="V10" s="4">
        <v>532.82470000000001</v>
      </c>
      <c r="W10" s="4">
        <v>800.18280000000004</v>
      </c>
    </row>
    <row r="11" spans="2:23">
      <c r="B11" s="1" t="s">
        <v>18</v>
      </c>
      <c r="C11" s="4">
        <v>2</v>
      </c>
      <c r="D11" s="4">
        <v>26</v>
      </c>
      <c r="E11" s="4">
        <v>4882</v>
      </c>
      <c r="F11" s="4">
        <v>37021</v>
      </c>
      <c r="G11" s="4">
        <v>161950</v>
      </c>
      <c r="H11" s="4">
        <v>18</v>
      </c>
      <c r="I11" s="4">
        <v>8</v>
      </c>
      <c r="J11" s="4">
        <v>13</v>
      </c>
      <c r="K11" s="4">
        <v>0</v>
      </c>
      <c r="L11" s="4">
        <v>1608</v>
      </c>
      <c r="M11" s="4">
        <v>0</v>
      </c>
      <c r="N11" s="4">
        <v>187.76920000000001</v>
      </c>
      <c r="O11" s="4">
        <v>366.08519999999999</v>
      </c>
      <c r="P11" s="4">
        <v>15147</v>
      </c>
      <c r="Q11" s="4">
        <v>0</v>
      </c>
      <c r="R11" s="4">
        <v>1423.8846000000001</v>
      </c>
      <c r="S11" s="4">
        <v>3159.5576999999998</v>
      </c>
      <c r="T11" s="4">
        <v>61701</v>
      </c>
      <c r="U11" s="4">
        <v>0</v>
      </c>
      <c r="V11" s="4">
        <v>6228.8462</v>
      </c>
      <c r="W11" s="4">
        <v>13232.058999999999</v>
      </c>
    </row>
    <row r="12" spans="2:23">
      <c r="B12" s="1" t="s">
        <v>19</v>
      </c>
      <c r="C12" s="4">
        <v>447</v>
      </c>
      <c r="D12" s="4">
        <v>70639</v>
      </c>
      <c r="E12" s="4">
        <v>2997991</v>
      </c>
      <c r="F12" s="4">
        <v>31747425</v>
      </c>
      <c r="G12" s="4">
        <v>154595094</v>
      </c>
      <c r="H12" s="4">
        <v>252</v>
      </c>
      <c r="I12" s="4">
        <v>18</v>
      </c>
      <c r="J12" s="4">
        <v>158</v>
      </c>
      <c r="K12" s="4">
        <v>0</v>
      </c>
      <c r="L12" s="4">
        <v>1671</v>
      </c>
      <c r="M12" s="4">
        <v>0</v>
      </c>
      <c r="N12" s="4">
        <v>42.441000000000003</v>
      </c>
      <c r="O12" s="4">
        <v>82.389600000000002</v>
      </c>
      <c r="P12" s="4">
        <v>18291</v>
      </c>
      <c r="Q12" s="4">
        <v>0</v>
      </c>
      <c r="R12" s="4">
        <v>449.43200000000002</v>
      </c>
      <c r="S12" s="4">
        <v>874.44550000000004</v>
      </c>
      <c r="T12" s="4">
        <v>89919</v>
      </c>
      <c r="U12" s="4">
        <v>0</v>
      </c>
      <c r="V12" s="4">
        <v>2188.5232999999998</v>
      </c>
      <c r="W12" s="4">
        <v>4370.6201000000001</v>
      </c>
    </row>
    <row r="13" spans="2:23">
      <c r="B13" s="1" t="s">
        <v>20</v>
      </c>
      <c r="C13" s="4">
        <v>27</v>
      </c>
      <c r="D13" s="4">
        <v>1519</v>
      </c>
      <c r="E13" s="4">
        <v>54703</v>
      </c>
      <c r="F13" s="4">
        <v>423226</v>
      </c>
      <c r="G13" s="4">
        <v>1599021</v>
      </c>
      <c r="H13" s="4">
        <v>90</v>
      </c>
      <c r="I13" s="4">
        <v>4</v>
      </c>
      <c r="J13" s="4">
        <v>56</v>
      </c>
      <c r="K13" s="4">
        <v>0</v>
      </c>
      <c r="L13" s="4">
        <v>499</v>
      </c>
      <c r="M13" s="4">
        <v>0</v>
      </c>
      <c r="N13" s="4">
        <v>36.012500000000003</v>
      </c>
      <c r="O13" s="4">
        <v>52.339300000000001</v>
      </c>
      <c r="P13" s="4">
        <v>2722</v>
      </c>
      <c r="Q13" s="4">
        <v>0</v>
      </c>
      <c r="R13" s="4">
        <v>278.62150000000003</v>
      </c>
      <c r="S13" s="4">
        <v>403.22390000000001</v>
      </c>
      <c r="T13" s="4">
        <v>10988</v>
      </c>
      <c r="U13" s="4">
        <v>0</v>
      </c>
      <c r="V13" s="4">
        <v>1052.6801</v>
      </c>
      <c r="W13" s="4">
        <v>1531.423</v>
      </c>
    </row>
    <row r="14" spans="2:23">
      <c r="B14" s="1" t="s">
        <v>21</v>
      </c>
      <c r="C14" s="4">
        <v>29</v>
      </c>
      <c r="D14" s="4">
        <v>274</v>
      </c>
      <c r="E14" s="4">
        <v>3392</v>
      </c>
      <c r="F14" s="4">
        <v>27177</v>
      </c>
      <c r="G14" s="4">
        <v>111689</v>
      </c>
      <c r="H14" s="4">
        <v>19</v>
      </c>
      <c r="I14" s="4">
        <v>4</v>
      </c>
      <c r="J14" s="4">
        <v>9</v>
      </c>
      <c r="K14" s="4">
        <v>0</v>
      </c>
      <c r="L14" s="4">
        <v>315</v>
      </c>
      <c r="M14" s="4">
        <v>0</v>
      </c>
      <c r="N14" s="4">
        <v>12.3796</v>
      </c>
      <c r="O14" s="4">
        <v>38.324399999999997</v>
      </c>
      <c r="P14" s="4">
        <v>2411</v>
      </c>
      <c r="Q14" s="4">
        <v>0</v>
      </c>
      <c r="R14" s="4">
        <v>99.186099999999996</v>
      </c>
      <c r="S14" s="4">
        <v>295.22160000000002</v>
      </c>
      <c r="T14" s="4">
        <v>10121</v>
      </c>
      <c r="U14" s="4">
        <v>0</v>
      </c>
      <c r="V14" s="4">
        <v>407.6241</v>
      </c>
      <c r="W14" s="4">
        <v>1240.4068</v>
      </c>
    </row>
    <row r="15" spans="2:23">
      <c r="B15" s="1" t="s">
        <v>22</v>
      </c>
      <c r="C15" s="4">
        <v>13</v>
      </c>
      <c r="D15" s="4">
        <v>618</v>
      </c>
      <c r="E15" s="4">
        <v>25085</v>
      </c>
      <c r="F15" s="4">
        <v>234984</v>
      </c>
      <c r="G15" s="4">
        <v>1063085</v>
      </c>
      <c r="H15" s="4">
        <v>119</v>
      </c>
      <c r="I15" s="4">
        <v>10</v>
      </c>
      <c r="J15" s="4">
        <v>47</v>
      </c>
      <c r="K15" s="4">
        <v>0</v>
      </c>
      <c r="L15" s="4">
        <v>1449</v>
      </c>
      <c r="M15" s="4">
        <v>0</v>
      </c>
      <c r="N15" s="4">
        <v>40.590600000000002</v>
      </c>
      <c r="O15" s="4">
        <v>127.13079999999999</v>
      </c>
      <c r="P15" s="4">
        <v>11028</v>
      </c>
      <c r="Q15" s="4">
        <v>0</v>
      </c>
      <c r="R15" s="4">
        <v>380.233</v>
      </c>
      <c r="S15" s="4">
        <v>1173.5818999999999</v>
      </c>
      <c r="T15" s="4">
        <v>51798</v>
      </c>
      <c r="U15" s="4">
        <v>0</v>
      </c>
      <c r="V15" s="4">
        <v>1720.2022999999999</v>
      </c>
      <c r="W15" s="4">
        <v>5483.4852000000001</v>
      </c>
    </row>
    <row r="16" spans="2:23">
      <c r="B16" s="1" t="s">
        <v>23</v>
      </c>
      <c r="C16" s="4">
        <v>1</v>
      </c>
      <c r="D16" s="4">
        <v>9</v>
      </c>
      <c r="E16" s="4">
        <v>2304</v>
      </c>
      <c r="F16" s="4">
        <v>24354</v>
      </c>
      <c r="G16" s="4">
        <v>108048</v>
      </c>
      <c r="H16" s="4">
        <v>9</v>
      </c>
      <c r="I16" s="4">
        <v>9</v>
      </c>
      <c r="J16" s="4">
        <v>9</v>
      </c>
      <c r="K16" s="4">
        <v>0</v>
      </c>
      <c r="L16" s="4">
        <v>1825</v>
      </c>
      <c r="M16" s="4">
        <v>1</v>
      </c>
      <c r="N16" s="4">
        <v>256</v>
      </c>
      <c r="O16" s="4">
        <v>571.20150000000001</v>
      </c>
      <c r="P16" s="4">
        <v>18971</v>
      </c>
      <c r="Q16" s="4">
        <v>8</v>
      </c>
      <c r="R16" s="4">
        <v>2706</v>
      </c>
      <c r="S16" s="4">
        <v>5938.2685000000001</v>
      </c>
      <c r="T16" s="4">
        <v>85021</v>
      </c>
      <c r="U16" s="4">
        <v>37</v>
      </c>
      <c r="V16" s="4">
        <v>12005.3333</v>
      </c>
      <c r="W16" s="4">
        <v>26649.255399999998</v>
      </c>
    </row>
    <row r="17" spans="2:23">
      <c r="B17" s="1" t="s">
        <v>24</v>
      </c>
      <c r="C17" s="4">
        <v>183</v>
      </c>
      <c r="D17" s="4">
        <v>18619</v>
      </c>
      <c r="E17" s="4">
        <v>1669615</v>
      </c>
      <c r="F17" s="4">
        <v>17127729</v>
      </c>
      <c r="G17" s="4">
        <v>81169604</v>
      </c>
      <c r="H17" s="4">
        <v>130</v>
      </c>
      <c r="I17" s="4">
        <v>34</v>
      </c>
      <c r="J17" s="4">
        <v>101</v>
      </c>
      <c r="K17" s="4">
        <v>0</v>
      </c>
      <c r="L17" s="4">
        <v>3833</v>
      </c>
      <c r="M17" s="4">
        <v>0</v>
      </c>
      <c r="N17" s="4">
        <v>89.672600000000003</v>
      </c>
      <c r="O17" s="4">
        <v>176.1891</v>
      </c>
      <c r="P17" s="4">
        <v>39951</v>
      </c>
      <c r="Q17" s="4">
        <v>0</v>
      </c>
      <c r="R17" s="4">
        <v>919.90599999999995</v>
      </c>
      <c r="S17" s="4">
        <v>1849.6537000000001</v>
      </c>
      <c r="T17" s="4">
        <v>196734</v>
      </c>
      <c r="U17" s="4">
        <v>0</v>
      </c>
      <c r="V17" s="4">
        <v>4359.5038999999997</v>
      </c>
      <c r="W17" s="4">
        <v>8798.6075000000001</v>
      </c>
    </row>
    <row r="18" spans="2:23">
      <c r="B18" s="1" t="s">
        <v>25</v>
      </c>
      <c r="C18" s="4">
        <v>169</v>
      </c>
      <c r="D18" s="4">
        <v>16705</v>
      </c>
      <c r="E18" s="4">
        <v>1628778</v>
      </c>
      <c r="F18" s="4">
        <v>16609189</v>
      </c>
      <c r="G18" s="4">
        <v>79020825</v>
      </c>
      <c r="H18" s="4">
        <v>134</v>
      </c>
      <c r="I18" s="4">
        <v>37</v>
      </c>
      <c r="J18" s="4">
        <v>98</v>
      </c>
      <c r="K18" s="4">
        <v>0</v>
      </c>
      <c r="L18" s="4">
        <v>5085</v>
      </c>
      <c r="M18" s="4">
        <v>0</v>
      </c>
      <c r="N18" s="4">
        <v>97.502399999999994</v>
      </c>
      <c r="O18" s="4">
        <v>181.20930000000001</v>
      </c>
      <c r="P18" s="4">
        <v>49857</v>
      </c>
      <c r="Q18" s="4">
        <v>0</v>
      </c>
      <c r="R18" s="4">
        <v>994.2645</v>
      </c>
      <c r="S18" s="4">
        <v>1900.3313000000001</v>
      </c>
      <c r="T18" s="4">
        <v>236992</v>
      </c>
      <c r="U18" s="4">
        <v>0</v>
      </c>
      <c r="V18" s="4">
        <v>4730.3696</v>
      </c>
      <c r="W18" s="4">
        <v>9045.6502999999993</v>
      </c>
    </row>
    <row r="19" spans="2:23">
      <c r="B19" s="1" t="s">
        <v>26</v>
      </c>
      <c r="C19" s="4">
        <v>151</v>
      </c>
      <c r="D19" s="4">
        <v>14378</v>
      </c>
      <c r="E19" s="4">
        <v>1406109</v>
      </c>
      <c r="F19" s="4">
        <v>14292546</v>
      </c>
      <c r="G19" s="4">
        <v>68396521</v>
      </c>
      <c r="H19" s="4">
        <v>119</v>
      </c>
      <c r="I19" s="4">
        <v>42</v>
      </c>
      <c r="J19" s="4">
        <v>95</v>
      </c>
      <c r="K19" s="4">
        <v>0</v>
      </c>
      <c r="L19" s="4">
        <v>3838</v>
      </c>
      <c r="M19" s="4">
        <v>0</v>
      </c>
      <c r="N19" s="4">
        <v>97.795900000000003</v>
      </c>
      <c r="O19" s="4">
        <v>175.8417</v>
      </c>
      <c r="P19" s="4">
        <v>39823</v>
      </c>
      <c r="Q19" s="4">
        <v>0</v>
      </c>
      <c r="R19" s="4">
        <v>994.0566</v>
      </c>
      <c r="S19" s="4">
        <v>1831.4294</v>
      </c>
      <c r="T19" s="4">
        <v>197119</v>
      </c>
      <c r="U19" s="4">
        <v>0</v>
      </c>
      <c r="V19" s="4">
        <v>4757.0261</v>
      </c>
      <c r="W19" s="4">
        <v>8805.1564999999991</v>
      </c>
    </row>
    <row r="20" spans="2:23">
      <c r="B20" s="1" t="s">
        <v>27</v>
      </c>
      <c r="C20" s="4">
        <v>123</v>
      </c>
      <c r="D20" s="4">
        <v>12139</v>
      </c>
      <c r="E20" s="4">
        <v>1136645</v>
      </c>
      <c r="F20" s="4">
        <v>11570828</v>
      </c>
      <c r="G20" s="4">
        <v>55187462</v>
      </c>
      <c r="H20" s="4">
        <v>124</v>
      </c>
      <c r="I20" s="4">
        <v>40</v>
      </c>
      <c r="J20" s="4">
        <v>98</v>
      </c>
      <c r="K20" s="4">
        <v>0</v>
      </c>
      <c r="L20" s="4">
        <v>4198</v>
      </c>
      <c r="M20" s="4">
        <v>0</v>
      </c>
      <c r="N20" s="4">
        <v>93.635800000000003</v>
      </c>
      <c r="O20" s="4">
        <v>186.7346</v>
      </c>
      <c r="P20" s="4">
        <v>51450</v>
      </c>
      <c r="Q20" s="4">
        <v>0</v>
      </c>
      <c r="R20" s="4">
        <v>953.19449999999995</v>
      </c>
      <c r="S20" s="4">
        <v>1958.0875000000001</v>
      </c>
      <c r="T20" s="4">
        <v>217095</v>
      </c>
      <c r="U20" s="4">
        <v>0</v>
      </c>
      <c r="V20" s="4">
        <v>4546.2938999999997</v>
      </c>
      <c r="W20" s="4">
        <v>9335.4547999999995</v>
      </c>
    </row>
    <row r="21" spans="2:23">
      <c r="B21" s="1" t="s">
        <v>28</v>
      </c>
      <c r="C21" s="4">
        <v>11</v>
      </c>
      <c r="D21" s="4">
        <v>1139</v>
      </c>
      <c r="E21" s="4">
        <v>103355</v>
      </c>
      <c r="F21" s="4">
        <v>1067779</v>
      </c>
      <c r="G21" s="4">
        <v>5052846</v>
      </c>
      <c r="H21" s="4">
        <v>156</v>
      </c>
      <c r="I21" s="4">
        <v>78</v>
      </c>
      <c r="J21" s="4">
        <v>103</v>
      </c>
      <c r="K21" s="4">
        <v>0</v>
      </c>
      <c r="L21" s="4">
        <v>2678</v>
      </c>
      <c r="M21" s="4">
        <v>0</v>
      </c>
      <c r="N21" s="4">
        <v>90.741900000000001</v>
      </c>
      <c r="O21" s="4">
        <v>185.66229999999999</v>
      </c>
      <c r="P21" s="4">
        <v>27802</v>
      </c>
      <c r="Q21" s="4">
        <v>0</v>
      </c>
      <c r="R21" s="4">
        <v>937.47059999999999</v>
      </c>
      <c r="S21" s="4">
        <v>1957.4706000000001</v>
      </c>
      <c r="T21" s="4">
        <v>136922</v>
      </c>
      <c r="U21" s="4">
        <v>0</v>
      </c>
      <c r="V21" s="4">
        <v>4436.2124999999996</v>
      </c>
      <c r="W21" s="4">
        <v>9324.2054000000007</v>
      </c>
    </row>
    <row r="22" spans="2:23">
      <c r="B22" s="1" t="s">
        <v>29</v>
      </c>
      <c r="C22" s="4">
        <v>7</v>
      </c>
      <c r="D22" s="4">
        <v>643</v>
      </c>
      <c r="E22" s="4">
        <v>65545</v>
      </c>
      <c r="F22" s="4">
        <v>670851</v>
      </c>
      <c r="G22" s="4">
        <v>3179440</v>
      </c>
      <c r="H22" s="4">
        <v>105</v>
      </c>
      <c r="I22" s="4">
        <v>70</v>
      </c>
      <c r="J22" s="4">
        <v>91</v>
      </c>
      <c r="K22" s="4">
        <v>0</v>
      </c>
      <c r="L22" s="4">
        <v>2679</v>
      </c>
      <c r="M22" s="4">
        <v>0</v>
      </c>
      <c r="N22" s="4">
        <v>101.9362</v>
      </c>
      <c r="O22" s="4">
        <v>204.01240000000001</v>
      </c>
      <c r="P22" s="4">
        <v>28897</v>
      </c>
      <c r="Q22" s="4">
        <v>0</v>
      </c>
      <c r="R22" s="4">
        <v>1043.3142</v>
      </c>
      <c r="S22" s="4">
        <v>2149.7716</v>
      </c>
      <c r="T22" s="4">
        <v>139074</v>
      </c>
      <c r="U22" s="4">
        <v>0</v>
      </c>
      <c r="V22" s="4">
        <v>4944.6967000000004</v>
      </c>
      <c r="W22" s="4">
        <v>10206.894700000001</v>
      </c>
    </row>
    <row r="23" spans="2:23">
      <c r="B23" s="1" t="s">
        <v>30</v>
      </c>
      <c r="C23" s="4">
        <v>3</v>
      </c>
      <c r="D23" s="4">
        <v>268</v>
      </c>
      <c r="E23" s="4">
        <v>29696</v>
      </c>
      <c r="F23" s="4">
        <v>295640</v>
      </c>
      <c r="G23" s="4">
        <v>1436253</v>
      </c>
      <c r="H23" s="4">
        <v>105</v>
      </c>
      <c r="I23" s="4">
        <v>71</v>
      </c>
      <c r="J23" s="4">
        <v>89</v>
      </c>
      <c r="K23" s="4">
        <v>0</v>
      </c>
      <c r="L23" s="4">
        <v>2682</v>
      </c>
      <c r="M23" s="4">
        <v>1</v>
      </c>
      <c r="N23" s="4">
        <v>110.806</v>
      </c>
      <c r="O23" s="4">
        <v>240.7148</v>
      </c>
      <c r="P23" s="4">
        <v>28409</v>
      </c>
      <c r="Q23" s="4">
        <v>1</v>
      </c>
      <c r="R23" s="4">
        <v>1103.1342999999999</v>
      </c>
      <c r="S23" s="4">
        <v>2470.6021999999998</v>
      </c>
      <c r="T23" s="4">
        <v>138081</v>
      </c>
      <c r="U23" s="4">
        <v>9</v>
      </c>
      <c r="V23" s="4">
        <v>5359.1530000000002</v>
      </c>
      <c r="W23" s="4">
        <v>12050.315699999999</v>
      </c>
    </row>
    <row r="24" spans="2:23">
      <c r="B24" s="1" t="s">
        <v>31</v>
      </c>
      <c r="C24" s="4">
        <v>1</v>
      </c>
      <c r="D24" s="4">
        <v>71</v>
      </c>
      <c r="E24" s="4">
        <v>10045</v>
      </c>
      <c r="F24" s="4">
        <v>101051</v>
      </c>
      <c r="G24" s="4">
        <v>487444</v>
      </c>
      <c r="H24" s="4">
        <v>71</v>
      </c>
      <c r="I24" s="4">
        <v>71</v>
      </c>
      <c r="J24" s="4">
        <v>71</v>
      </c>
      <c r="K24" s="4">
        <v>0</v>
      </c>
      <c r="L24" s="4">
        <v>2719</v>
      </c>
      <c r="M24" s="4">
        <v>1</v>
      </c>
      <c r="N24" s="4">
        <v>141.47890000000001</v>
      </c>
      <c r="O24" s="4">
        <v>398.42290000000003</v>
      </c>
      <c r="P24" s="4">
        <v>28504</v>
      </c>
      <c r="Q24" s="4">
        <v>2</v>
      </c>
      <c r="R24" s="4">
        <v>1423.2535</v>
      </c>
      <c r="S24" s="4">
        <v>4095.1030999999998</v>
      </c>
      <c r="T24" s="4">
        <v>139641</v>
      </c>
      <c r="U24" s="4">
        <v>9</v>
      </c>
      <c r="V24" s="4">
        <v>6865.4084999999995</v>
      </c>
      <c r="W24" s="4">
        <v>19926.550599999999</v>
      </c>
    </row>
    <row r="25" spans="2:23">
      <c r="B25" s="1" t="s">
        <v>32</v>
      </c>
      <c r="C25" s="4">
        <v>10</v>
      </c>
      <c r="D25" s="4">
        <v>27</v>
      </c>
      <c r="E25" s="4">
        <v>427</v>
      </c>
      <c r="F25" s="4">
        <v>3181</v>
      </c>
      <c r="G25" s="4">
        <v>11046</v>
      </c>
      <c r="H25" s="4">
        <v>5</v>
      </c>
      <c r="I25" s="4">
        <v>1</v>
      </c>
      <c r="J25" s="4">
        <v>2</v>
      </c>
      <c r="K25" s="4">
        <v>0</v>
      </c>
      <c r="L25" s="4">
        <v>71</v>
      </c>
      <c r="M25" s="4">
        <v>0</v>
      </c>
      <c r="N25" s="4">
        <v>15.8148</v>
      </c>
      <c r="O25" s="4">
        <v>16.158999999999999</v>
      </c>
      <c r="P25" s="4">
        <v>483</v>
      </c>
      <c r="Q25" s="4">
        <v>0</v>
      </c>
      <c r="R25" s="4">
        <v>117.81480000000001</v>
      </c>
      <c r="S25" s="4">
        <v>137.96379999999999</v>
      </c>
      <c r="T25" s="4">
        <v>1348</v>
      </c>
      <c r="U25" s="4">
        <v>0</v>
      </c>
      <c r="V25" s="4">
        <v>409.11110000000002</v>
      </c>
      <c r="W25" s="4">
        <v>415.05489999999998</v>
      </c>
    </row>
    <row r="26" spans="2:23">
      <c r="B26" s="1" t="s">
        <v>33</v>
      </c>
      <c r="C26" s="4">
        <v>11</v>
      </c>
      <c r="D26" s="4">
        <v>988</v>
      </c>
      <c r="E26" s="4">
        <v>100661</v>
      </c>
      <c r="F26" s="4">
        <v>5026111</v>
      </c>
      <c r="G26" s="4">
        <v>14608690</v>
      </c>
      <c r="H26" s="4">
        <v>138</v>
      </c>
      <c r="I26" s="4">
        <v>11</v>
      </c>
      <c r="J26" s="4">
        <v>89</v>
      </c>
      <c r="K26" s="4">
        <v>0</v>
      </c>
      <c r="L26" s="4">
        <v>9908</v>
      </c>
      <c r="M26" s="4">
        <v>0</v>
      </c>
      <c r="N26" s="4">
        <v>101.8836</v>
      </c>
      <c r="O26" s="4">
        <v>723.94550000000004</v>
      </c>
      <c r="P26" s="4">
        <v>467793</v>
      </c>
      <c r="Q26" s="4">
        <v>0</v>
      </c>
      <c r="R26" s="4">
        <v>5087.1569</v>
      </c>
      <c r="S26" s="4">
        <v>35865.290999999997</v>
      </c>
      <c r="T26" s="4">
        <v>1379326</v>
      </c>
      <c r="U26" s="4">
        <v>0</v>
      </c>
      <c r="V26" s="4">
        <v>14786.1235</v>
      </c>
      <c r="W26" s="4">
        <v>103609.5374</v>
      </c>
    </row>
    <row r="27" spans="2:23">
      <c r="B27" s="1" t="s">
        <v>34</v>
      </c>
      <c r="C27" s="4">
        <v>2</v>
      </c>
      <c r="D27" s="4">
        <v>103</v>
      </c>
      <c r="E27" s="4">
        <v>1069</v>
      </c>
      <c r="F27" s="4">
        <v>18750</v>
      </c>
      <c r="G27" s="4">
        <v>80985</v>
      </c>
      <c r="H27" s="4">
        <v>76</v>
      </c>
      <c r="I27" s="4">
        <v>27</v>
      </c>
      <c r="J27" s="4">
        <v>51</v>
      </c>
      <c r="K27" s="4">
        <v>0</v>
      </c>
      <c r="L27" s="4">
        <v>95</v>
      </c>
      <c r="M27" s="4">
        <v>0</v>
      </c>
      <c r="N27" s="4">
        <v>10.3786</v>
      </c>
      <c r="O27" s="4">
        <v>20.004899999999999</v>
      </c>
      <c r="P27" s="4">
        <v>1968</v>
      </c>
      <c r="Q27" s="4">
        <v>0</v>
      </c>
      <c r="R27" s="4">
        <v>182.03880000000001</v>
      </c>
      <c r="S27" s="4">
        <v>382.92500000000001</v>
      </c>
      <c r="T27" s="4">
        <v>8190</v>
      </c>
      <c r="U27" s="4">
        <v>0</v>
      </c>
      <c r="V27" s="4">
        <v>786.26210000000003</v>
      </c>
      <c r="W27" s="4">
        <v>1642.8243</v>
      </c>
    </row>
    <row r="28" spans="2:23">
      <c r="B28" s="1" t="s">
        <v>35</v>
      </c>
      <c r="C28" s="4">
        <v>6</v>
      </c>
      <c r="D28" s="4">
        <v>27</v>
      </c>
      <c r="E28" s="4">
        <v>1733</v>
      </c>
      <c r="F28" s="4">
        <v>21282</v>
      </c>
      <c r="G28" s="4">
        <v>80725</v>
      </c>
      <c r="H28" s="4">
        <v>5</v>
      </c>
      <c r="I28" s="4">
        <v>4</v>
      </c>
      <c r="J28" s="4">
        <v>4</v>
      </c>
      <c r="K28" s="4">
        <v>0</v>
      </c>
      <c r="L28" s="4">
        <v>379</v>
      </c>
      <c r="M28" s="4">
        <v>0</v>
      </c>
      <c r="N28" s="4">
        <v>64.185199999999995</v>
      </c>
      <c r="O28" s="4">
        <v>118.4421</v>
      </c>
      <c r="P28" s="4">
        <v>3979</v>
      </c>
      <c r="Q28" s="4">
        <v>0</v>
      </c>
      <c r="R28" s="4">
        <v>788.22220000000004</v>
      </c>
      <c r="S28" s="4">
        <v>1470.0476000000001</v>
      </c>
      <c r="T28" s="4">
        <v>16062</v>
      </c>
      <c r="U28" s="4">
        <v>0</v>
      </c>
      <c r="V28" s="4">
        <v>2989.8148000000001</v>
      </c>
      <c r="W28" s="4">
        <v>5587.3463000000002</v>
      </c>
    </row>
    <row r="29" spans="2:23">
      <c r="B29" s="1" t="s">
        <v>36</v>
      </c>
      <c r="C29" s="4">
        <v>6</v>
      </c>
      <c r="D29" s="4">
        <v>50</v>
      </c>
      <c r="E29" s="4">
        <v>342</v>
      </c>
      <c r="F29" s="4">
        <v>6528</v>
      </c>
      <c r="G29" s="4">
        <v>23898</v>
      </c>
      <c r="H29" s="4">
        <v>11</v>
      </c>
      <c r="I29" s="4">
        <v>7</v>
      </c>
      <c r="J29" s="4">
        <v>8</v>
      </c>
      <c r="K29" s="4">
        <v>0</v>
      </c>
      <c r="L29" s="4">
        <v>53</v>
      </c>
      <c r="M29" s="4">
        <v>0</v>
      </c>
      <c r="N29" s="4">
        <v>6.84</v>
      </c>
      <c r="O29" s="4">
        <v>13.8771</v>
      </c>
      <c r="P29" s="4">
        <v>1795</v>
      </c>
      <c r="Q29" s="4">
        <v>0</v>
      </c>
      <c r="R29" s="4">
        <v>130.56</v>
      </c>
      <c r="S29" s="4">
        <v>322.6123</v>
      </c>
      <c r="T29" s="4">
        <v>4114</v>
      </c>
      <c r="U29" s="4">
        <v>0</v>
      </c>
      <c r="V29" s="4">
        <v>477.96</v>
      </c>
      <c r="W29" s="4">
        <v>1093.0423000000001</v>
      </c>
    </row>
    <row r="30" spans="2:2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2:23">
      <c r="B31" s="2" t="s">
        <v>40</v>
      </c>
      <c r="C31" s="4">
        <f>SUM(C1:C29)</f>
        <v>3449</v>
      </c>
      <c r="D31" s="4">
        <f t="shared" ref="D31:G31" si="0">SUM(D1:D29)</f>
        <v>432454</v>
      </c>
      <c r="E31" s="4">
        <f t="shared" si="0"/>
        <v>24138675</v>
      </c>
      <c r="F31" s="4">
        <f t="shared" si="0"/>
        <v>266144822</v>
      </c>
      <c r="G31" s="4">
        <f t="shared" si="0"/>
        <v>1231980849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B2:W3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RowHeight="16"/>
  <cols>
    <col min="1" max="1" width="10.7109375" style="2"/>
    <col min="2" max="2" width="7.42578125" style="2" customWidth="1"/>
    <col min="3" max="3" width="10.140625" style="2" customWidth="1"/>
    <col min="4" max="4" width="12.5703125" style="2" customWidth="1"/>
    <col min="5" max="5" width="14.7109375" style="2" customWidth="1"/>
    <col min="6" max="6" width="15.42578125" style="2" customWidth="1"/>
    <col min="7" max="7" width="16.140625" style="2" customWidth="1"/>
    <col min="8" max="11" width="8.5703125" style="2" bestFit="1" customWidth="1"/>
    <col min="12" max="12" width="6.140625" style="2" bestFit="1" customWidth="1"/>
    <col min="13" max="13" width="5.7109375" style="2" bestFit="1" customWidth="1"/>
    <col min="14" max="15" width="10.28515625" style="2" bestFit="1" customWidth="1"/>
    <col min="16" max="16" width="8.28515625" style="2" bestFit="1" customWidth="1"/>
    <col min="17" max="17" width="7.28515625" style="2" bestFit="1" customWidth="1"/>
    <col min="18" max="18" width="11.28515625" style="2" bestFit="1" customWidth="1"/>
    <col min="19" max="19" width="12.28515625" style="2" bestFit="1" customWidth="1"/>
    <col min="20" max="20" width="10.28515625" style="2" bestFit="1" customWidth="1"/>
    <col min="21" max="21" width="7.28515625" style="2" bestFit="1" customWidth="1"/>
    <col min="22" max="23" width="12.28515625" style="2" bestFit="1" customWidth="1"/>
    <col min="24" max="16384" width="10.7109375" style="2"/>
  </cols>
  <sheetData>
    <row r="2" spans="2:23">
      <c r="B2" s="5" t="s">
        <v>0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2</v>
      </c>
      <c r="I2" s="6" t="s">
        <v>3</v>
      </c>
      <c r="J2" s="6" t="s">
        <v>4</v>
      </c>
      <c r="K2" s="6" t="s">
        <v>5</v>
      </c>
      <c r="L2" s="6" t="s">
        <v>2</v>
      </c>
      <c r="M2" s="6" t="s">
        <v>3</v>
      </c>
      <c r="N2" s="6" t="s">
        <v>4</v>
      </c>
      <c r="O2" s="6" t="s">
        <v>5</v>
      </c>
      <c r="P2" s="6" t="s">
        <v>2</v>
      </c>
      <c r="Q2" s="6" t="s">
        <v>3</v>
      </c>
      <c r="R2" s="6" t="s">
        <v>4</v>
      </c>
      <c r="S2" s="6" t="s">
        <v>5</v>
      </c>
      <c r="T2" s="6" t="s">
        <v>2</v>
      </c>
      <c r="U2" s="6" t="s">
        <v>3</v>
      </c>
      <c r="V2" s="6" t="s">
        <v>4</v>
      </c>
      <c r="W2" s="6" t="s">
        <v>5</v>
      </c>
    </row>
    <row r="3" spans="2:23">
      <c r="B3" s="6"/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41</v>
      </c>
      <c r="I3" s="6" t="s">
        <v>41</v>
      </c>
      <c r="J3" s="6" t="s">
        <v>41</v>
      </c>
      <c r="K3" s="6" t="s">
        <v>41</v>
      </c>
      <c r="L3" s="6" t="s">
        <v>42</v>
      </c>
      <c r="M3" s="6" t="s">
        <v>42</v>
      </c>
      <c r="N3" s="6" t="s">
        <v>42</v>
      </c>
      <c r="O3" s="6" t="s">
        <v>42</v>
      </c>
      <c r="P3" s="6" t="s">
        <v>43</v>
      </c>
      <c r="Q3" s="6" t="s">
        <v>43</v>
      </c>
      <c r="R3" s="6" t="s">
        <v>43</v>
      </c>
      <c r="S3" s="6" t="s">
        <v>43</v>
      </c>
      <c r="T3" s="6" t="s">
        <v>44</v>
      </c>
      <c r="U3" s="6" t="s">
        <v>44</v>
      </c>
      <c r="V3" s="6" t="s">
        <v>44</v>
      </c>
      <c r="W3" s="6" t="s">
        <v>44</v>
      </c>
    </row>
    <row r="4" spans="2:23">
      <c r="B4" s="1" t="s">
        <v>11</v>
      </c>
      <c r="C4" s="4">
        <v>78</v>
      </c>
      <c r="D4" s="4">
        <v>1359</v>
      </c>
      <c r="E4" s="4">
        <v>225973</v>
      </c>
      <c r="F4" s="4">
        <v>3554376</v>
      </c>
      <c r="G4" s="4">
        <v>17396077</v>
      </c>
      <c r="H4" s="4">
        <v>31</v>
      </c>
      <c r="I4" s="4">
        <v>12</v>
      </c>
      <c r="J4" s="4">
        <v>17</v>
      </c>
      <c r="K4" s="4">
        <v>0</v>
      </c>
      <c r="L4" s="4">
        <v>1005</v>
      </c>
      <c r="M4" s="4">
        <v>3</v>
      </c>
      <c r="N4" s="4">
        <v>166.27889999999999</v>
      </c>
      <c r="O4" s="4">
        <v>171.2944</v>
      </c>
      <c r="P4" s="4">
        <v>17359</v>
      </c>
      <c r="Q4" s="4">
        <v>50</v>
      </c>
      <c r="R4" s="4">
        <v>2615.4349000000002</v>
      </c>
      <c r="S4" s="4">
        <v>2581.2456000000002</v>
      </c>
      <c r="T4" s="4">
        <v>83467</v>
      </c>
      <c r="U4" s="4">
        <v>304</v>
      </c>
      <c r="V4" s="4">
        <v>12800.6453</v>
      </c>
      <c r="W4" s="4">
        <v>12671.923000000001</v>
      </c>
    </row>
    <row r="5" spans="2:23">
      <c r="B5" s="1" t="s">
        <v>12</v>
      </c>
      <c r="C5" s="4">
        <v>538</v>
      </c>
      <c r="D5" s="4">
        <v>56447</v>
      </c>
      <c r="E5" s="4">
        <v>3571369</v>
      </c>
      <c r="F5" s="4">
        <v>38024727</v>
      </c>
      <c r="G5" s="4">
        <v>185910304</v>
      </c>
      <c r="H5" s="4">
        <v>173</v>
      </c>
      <c r="I5" s="4">
        <v>2</v>
      </c>
      <c r="J5" s="4">
        <v>104</v>
      </c>
      <c r="K5" s="4">
        <v>0</v>
      </c>
      <c r="L5" s="4">
        <v>2204</v>
      </c>
      <c r="M5" s="4">
        <v>2</v>
      </c>
      <c r="N5" s="4">
        <v>63.269399999999997</v>
      </c>
      <c r="O5" s="4">
        <v>95.394999999999996</v>
      </c>
      <c r="P5" s="4">
        <v>21274</v>
      </c>
      <c r="Q5" s="4">
        <v>26</v>
      </c>
      <c r="R5" s="4">
        <v>673.63589999999999</v>
      </c>
      <c r="S5" s="4">
        <v>1017.028</v>
      </c>
      <c r="T5" s="4">
        <v>102198</v>
      </c>
      <c r="U5" s="4">
        <v>301</v>
      </c>
      <c r="V5" s="4">
        <v>3293.5374000000002</v>
      </c>
      <c r="W5" s="4">
        <v>5081.8334000000004</v>
      </c>
    </row>
    <row r="6" spans="2:23">
      <c r="B6" s="1" t="s">
        <v>13</v>
      </c>
      <c r="C6" s="4">
        <v>408</v>
      </c>
      <c r="D6" s="4">
        <v>13547</v>
      </c>
      <c r="E6" s="4">
        <v>2323346</v>
      </c>
      <c r="F6" s="4">
        <v>20264713</v>
      </c>
      <c r="G6" s="4">
        <v>96928436</v>
      </c>
      <c r="H6" s="4">
        <v>83</v>
      </c>
      <c r="I6" s="4">
        <v>1</v>
      </c>
      <c r="J6" s="4">
        <v>33</v>
      </c>
      <c r="K6" s="4">
        <v>0</v>
      </c>
      <c r="L6" s="4">
        <v>2290</v>
      </c>
      <c r="M6" s="4">
        <v>2</v>
      </c>
      <c r="N6" s="4">
        <v>171.5026</v>
      </c>
      <c r="O6" s="4">
        <v>212.52199999999999</v>
      </c>
      <c r="P6" s="4">
        <v>20752</v>
      </c>
      <c r="Q6" s="4">
        <v>23</v>
      </c>
      <c r="R6" s="4">
        <v>1495.8820000000001</v>
      </c>
      <c r="S6" s="4">
        <v>1930.8044</v>
      </c>
      <c r="T6" s="4">
        <v>89674</v>
      </c>
      <c r="U6" s="4">
        <v>301</v>
      </c>
      <c r="V6" s="4">
        <v>7154.9741999999997</v>
      </c>
      <c r="W6" s="4">
        <v>9274.3762999999999</v>
      </c>
    </row>
    <row r="7" spans="2:23">
      <c r="B7" s="1" t="s">
        <v>14</v>
      </c>
      <c r="C7" s="4">
        <v>773</v>
      </c>
      <c r="D7" s="4">
        <v>55739</v>
      </c>
      <c r="E7" s="4">
        <v>7120377</v>
      </c>
      <c r="F7" s="4">
        <v>72577484</v>
      </c>
      <c r="G7" s="4">
        <v>346140730</v>
      </c>
      <c r="H7" s="4">
        <v>124</v>
      </c>
      <c r="I7" s="4">
        <v>12</v>
      </c>
      <c r="J7" s="4">
        <v>72</v>
      </c>
      <c r="K7" s="4">
        <v>0</v>
      </c>
      <c r="L7" s="4">
        <v>6183</v>
      </c>
      <c r="M7" s="4">
        <v>2</v>
      </c>
      <c r="N7" s="4">
        <v>127.745</v>
      </c>
      <c r="O7" s="4">
        <v>191.84700000000001</v>
      </c>
      <c r="P7" s="4">
        <v>61867</v>
      </c>
      <c r="Q7" s="4">
        <v>50</v>
      </c>
      <c r="R7" s="4">
        <v>1302.0952</v>
      </c>
      <c r="S7" s="4">
        <v>1977.3580999999999</v>
      </c>
      <c r="T7" s="4">
        <v>289325</v>
      </c>
      <c r="U7" s="4">
        <v>301</v>
      </c>
      <c r="V7" s="4">
        <v>6210.0276000000003</v>
      </c>
      <c r="W7" s="4">
        <v>9510.3066999999992</v>
      </c>
    </row>
    <row r="8" spans="2:23">
      <c r="B8" s="1" t="s">
        <v>15</v>
      </c>
      <c r="C8" s="4">
        <v>264</v>
      </c>
      <c r="D8" s="4">
        <v>25312</v>
      </c>
      <c r="E8" s="4">
        <v>1243200</v>
      </c>
      <c r="F8" s="4">
        <v>27094736</v>
      </c>
      <c r="G8" s="4">
        <v>98351007</v>
      </c>
      <c r="H8" s="4">
        <v>407</v>
      </c>
      <c r="I8" s="4">
        <v>30</v>
      </c>
      <c r="J8" s="4">
        <v>95</v>
      </c>
      <c r="K8" s="4">
        <v>0</v>
      </c>
      <c r="L8" s="4">
        <v>5190</v>
      </c>
      <c r="M8" s="4">
        <v>1</v>
      </c>
      <c r="N8" s="4">
        <v>49.115000000000002</v>
      </c>
      <c r="O8" s="4">
        <v>108.5671</v>
      </c>
      <c r="P8" s="4">
        <v>150238</v>
      </c>
      <c r="Q8" s="4">
        <v>21</v>
      </c>
      <c r="R8" s="4">
        <v>1070.4304999999999</v>
      </c>
      <c r="S8" s="4">
        <v>2494.4292999999998</v>
      </c>
      <c r="T8" s="4">
        <v>520310</v>
      </c>
      <c r="U8" s="4">
        <v>301</v>
      </c>
      <c r="V8" s="4">
        <v>3885.5486000000001</v>
      </c>
      <c r="W8" s="4">
        <v>8676.6735000000008</v>
      </c>
    </row>
    <row r="9" spans="2:23">
      <c r="B9" s="1" t="s">
        <v>16</v>
      </c>
      <c r="C9" s="4">
        <v>173</v>
      </c>
      <c r="D9" s="4">
        <v>5342</v>
      </c>
      <c r="E9" s="4">
        <v>121603</v>
      </c>
      <c r="F9" s="4">
        <v>2441202</v>
      </c>
      <c r="G9" s="4">
        <v>10340176</v>
      </c>
      <c r="H9" s="4">
        <v>66</v>
      </c>
      <c r="I9" s="4">
        <v>11</v>
      </c>
      <c r="J9" s="4">
        <v>30</v>
      </c>
      <c r="K9" s="4">
        <v>0</v>
      </c>
      <c r="L9" s="4">
        <v>238</v>
      </c>
      <c r="M9" s="4">
        <v>1</v>
      </c>
      <c r="N9" s="4">
        <v>22.7636</v>
      </c>
      <c r="O9" s="4">
        <v>25.451000000000001</v>
      </c>
      <c r="P9" s="4">
        <v>4537</v>
      </c>
      <c r="Q9" s="4">
        <v>27</v>
      </c>
      <c r="R9" s="4">
        <v>456.9828</v>
      </c>
      <c r="S9" s="4">
        <v>535.91700000000003</v>
      </c>
      <c r="T9" s="4">
        <v>16876</v>
      </c>
      <c r="U9" s="4">
        <v>301</v>
      </c>
      <c r="V9" s="4">
        <v>1935.6376</v>
      </c>
      <c r="W9" s="4">
        <v>2255.2521999999999</v>
      </c>
    </row>
    <row r="10" spans="2:23">
      <c r="B10" s="1" t="s">
        <v>17</v>
      </c>
      <c r="C10" s="4">
        <v>13</v>
      </c>
      <c r="D10" s="4">
        <v>27</v>
      </c>
      <c r="E10" s="4">
        <v>941</v>
      </c>
      <c r="F10" s="4">
        <v>12008</v>
      </c>
      <c r="G10" s="4">
        <v>45485</v>
      </c>
      <c r="H10" s="4">
        <v>4</v>
      </c>
      <c r="I10" s="4">
        <v>2</v>
      </c>
      <c r="J10" s="4">
        <v>2</v>
      </c>
      <c r="K10" s="4">
        <v>0</v>
      </c>
      <c r="L10" s="4">
        <v>48</v>
      </c>
      <c r="M10" s="4">
        <v>10</v>
      </c>
      <c r="N10" s="4">
        <v>34.851900000000001</v>
      </c>
      <c r="O10" s="4">
        <v>10.1751</v>
      </c>
      <c r="P10" s="4">
        <v>767</v>
      </c>
      <c r="Q10" s="4">
        <v>135</v>
      </c>
      <c r="R10" s="4">
        <v>444.7407</v>
      </c>
      <c r="S10" s="4">
        <v>170.93700000000001</v>
      </c>
      <c r="T10" s="4">
        <v>2884</v>
      </c>
      <c r="U10" s="4">
        <v>318</v>
      </c>
      <c r="V10" s="4">
        <v>1684.6296</v>
      </c>
      <c r="W10" s="4">
        <v>668.2396</v>
      </c>
    </row>
    <row r="11" spans="2:23">
      <c r="B11" s="1" t="s">
        <v>18</v>
      </c>
      <c r="C11" s="4">
        <v>2</v>
      </c>
      <c r="D11" s="4">
        <v>11</v>
      </c>
      <c r="E11" s="4">
        <v>4844</v>
      </c>
      <c r="F11" s="4">
        <v>36748</v>
      </c>
      <c r="G11" s="4">
        <v>161209</v>
      </c>
      <c r="H11" s="4">
        <v>9</v>
      </c>
      <c r="I11" s="4">
        <v>2</v>
      </c>
      <c r="J11" s="4">
        <v>5</v>
      </c>
      <c r="K11" s="4">
        <v>0</v>
      </c>
      <c r="L11" s="4">
        <v>1608</v>
      </c>
      <c r="M11" s="4">
        <v>5</v>
      </c>
      <c r="N11" s="4">
        <v>440.36360000000002</v>
      </c>
      <c r="O11" s="4">
        <v>454.05470000000003</v>
      </c>
      <c r="P11" s="4">
        <v>15147</v>
      </c>
      <c r="Q11" s="4">
        <v>84</v>
      </c>
      <c r="R11" s="4">
        <v>3340.7273</v>
      </c>
      <c r="S11" s="4">
        <v>4150.4429</v>
      </c>
      <c r="T11" s="4">
        <v>61701</v>
      </c>
      <c r="U11" s="4">
        <v>446</v>
      </c>
      <c r="V11" s="4">
        <v>14655.363600000001</v>
      </c>
      <c r="W11" s="4">
        <v>17051.722000000002</v>
      </c>
    </row>
    <row r="12" spans="2:23">
      <c r="B12" s="1" t="s">
        <v>19</v>
      </c>
      <c r="C12" s="4">
        <v>447</v>
      </c>
      <c r="D12" s="4">
        <v>45657</v>
      </c>
      <c r="E12" s="4">
        <v>2934351</v>
      </c>
      <c r="F12" s="4">
        <v>31104315</v>
      </c>
      <c r="G12" s="4">
        <v>152203201</v>
      </c>
      <c r="H12" s="4">
        <v>165</v>
      </c>
      <c r="I12" s="4">
        <v>8</v>
      </c>
      <c r="J12" s="4">
        <v>102</v>
      </c>
      <c r="K12" s="4">
        <v>0</v>
      </c>
      <c r="L12" s="4">
        <v>1671</v>
      </c>
      <c r="M12" s="4">
        <v>2</v>
      </c>
      <c r="N12" s="4">
        <v>64.269499999999994</v>
      </c>
      <c r="O12" s="4">
        <v>95.668199999999999</v>
      </c>
      <c r="P12" s="4">
        <v>18291</v>
      </c>
      <c r="Q12" s="4">
        <v>27</v>
      </c>
      <c r="R12" s="4">
        <v>681.26059999999995</v>
      </c>
      <c r="S12" s="4">
        <v>1015.2921</v>
      </c>
      <c r="T12" s="4">
        <v>89919</v>
      </c>
      <c r="U12" s="4">
        <v>301</v>
      </c>
      <c r="V12" s="4">
        <v>3333.6224999999999</v>
      </c>
      <c r="W12" s="4">
        <v>5083.5621000000001</v>
      </c>
    </row>
    <row r="13" spans="2:23">
      <c r="B13" s="1" t="s">
        <v>20</v>
      </c>
      <c r="C13" s="4">
        <v>27</v>
      </c>
      <c r="D13" s="4">
        <v>679</v>
      </c>
      <c r="E13" s="4">
        <v>52429</v>
      </c>
      <c r="F13" s="4">
        <v>409352</v>
      </c>
      <c r="G13" s="4">
        <v>1555739</v>
      </c>
      <c r="H13" s="4">
        <v>45</v>
      </c>
      <c r="I13" s="4">
        <v>1</v>
      </c>
      <c r="J13" s="4">
        <v>25</v>
      </c>
      <c r="K13" s="4">
        <v>0</v>
      </c>
      <c r="L13" s="4">
        <v>499</v>
      </c>
      <c r="M13" s="4">
        <v>4</v>
      </c>
      <c r="N13" s="4">
        <v>77.215000000000003</v>
      </c>
      <c r="O13" s="4">
        <v>55.207099999999997</v>
      </c>
      <c r="P13" s="4">
        <v>2722</v>
      </c>
      <c r="Q13" s="4">
        <v>43</v>
      </c>
      <c r="R13" s="4">
        <v>602.87480000000005</v>
      </c>
      <c r="S13" s="4">
        <v>415.91469999999998</v>
      </c>
      <c r="T13" s="4">
        <v>10988</v>
      </c>
      <c r="U13" s="4">
        <v>301</v>
      </c>
      <c r="V13" s="4">
        <v>2291.2208999999998</v>
      </c>
      <c r="W13" s="4">
        <v>1570.6744000000001</v>
      </c>
    </row>
    <row r="14" spans="2:23">
      <c r="B14" s="1" t="s">
        <v>21</v>
      </c>
      <c r="C14" s="4">
        <v>29</v>
      </c>
      <c r="D14" s="4">
        <v>45</v>
      </c>
      <c r="E14" s="4">
        <v>2732</v>
      </c>
      <c r="F14" s="4">
        <v>23593</v>
      </c>
      <c r="G14" s="4">
        <v>99107</v>
      </c>
      <c r="H14" s="4">
        <v>5</v>
      </c>
      <c r="I14" s="4">
        <v>1</v>
      </c>
      <c r="J14" s="4">
        <v>1</v>
      </c>
      <c r="K14" s="4">
        <v>0</v>
      </c>
      <c r="L14" s="4">
        <v>315</v>
      </c>
      <c r="M14" s="4">
        <v>9</v>
      </c>
      <c r="N14" s="4">
        <v>60.711100000000002</v>
      </c>
      <c r="O14" s="4">
        <v>78.12</v>
      </c>
      <c r="P14" s="4">
        <v>2411</v>
      </c>
      <c r="Q14" s="4">
        <v>101</v>
      </c>
      <c r="R14" s="4">
        <v>524.28890000000001</v>
      </c>
      <c r="S14" s="4">
        <v>558.78689999999995</v>
      </c>
      <c r="T14" s="4">
        <v>10121</v>
      </c>
      <c r="U14" s="4">
        <v>332</v>
      </c>
      <c r="V14" s="4">
        <v>2202.3778000000002</v>
      </c>
      <c r="W14" s="4">
        <v>2344.2148000000002</v>
      </c>
    </row>
    <row r="15" spans="2:23">
      <c r="B15" s="1" t="s">
        <v>22</v>
      </c>
      <c r="C15" s="4">
        <v>13</v>
      </c>
      <c r="D15" s="4">
        <v>140</v>
      </c>
      <c r="E15" s="4">
        <v>24273</v>
      </c>
      <c r="F15" s="4">
        <v>230437</v>
      </c>
      <c r="G15" s="4">
        <v>1045935</v>
      </c>
      <c r="H15" s="4">
        <v>29</v>
      </c>
      <c r="I15" s="4">
        <v>1</v>
      </c>
      <c r="J15" s="4">
        <v>10</v>
      </c>
      <c r="K15" s="4">
        <v>0</v>
      </c>
      <c r="L15" s="4">
        <v>1449</v>
      </c>
      <c r="M15" s="4">
        <v>5</v>
      </c>
      <c r="N15" s="4">
        <v>173.37860000000001</v>
      </c>
      <c r="O15" s="4">
        <v>220.29570000000001</v>
      </c>
      <c r="P15" s="4">
        <v>11028</v>
      </c>
      <c r="Q15" s="4">
        <v>64</v>
      </c>
      <c r="R15" s="4">
        <v>1645.9785999999999</v>
      </c>
      <c r="S15" s="4">
        <v>2001.9659999999999</v>
      </c>
      <c r="T15" s="4">
        <v>51798</v>
      </c>
      <c r="U15" s="4">
        <v>326</v>
      </c>
      <c r="V15" s="4">
        <v>7470.9642999999996</v>
      </c>
      <c r="W15" s="4">
        <v>9485.0861999999997</v>
      </c>
    </row>
    <row r="16" spans="2:23">
      <c r="B16" s="1" t="s">
        <v>23</v>
      </c>
      <c r="C16" s="4">
        <v>1</v>
      </c>
      <c r="D16" s="4">
        <v>5</v>
      </c>
      <c r="E16" s="4">
        <v>2293</v>
      </c>
      <c r="F16" s="4">
        <v>24213</v>
      </c>
      <c r="G16" s="4">
        <v>107674</v>
      </c>
      <c r="H16" s="4">
        <v>5</v>
      </c>
      <c r="I16" s="4">
        <v>5</v>
      </c>
      <c r="J16" s="4">
        <v>5</v>
      </c>
      <c r="K16" s="4">
        <v>0</v>
      </c>
      <c r="L16" s="4">
        <v>1825</v>
      </c>
      <c r="M16" s="4">
        <v>7</v>
      </c>
      <c r="N16" s="4">
        <v>458.6</v>
      </c>
      <c r="O16" s="4">
        <v>703.51250000000005</v>
      </c>
      <c r="P16" s="4">
        <v>18971</v>
      </c>
      <c r="Q16" s="4">
        <v>70</v>
      </c>
      <c r="R16" s="4">
        <v>4842.6000000000004</v>
      </c>
      <c r="S16" s="4">
        <v>7293.9384</v>
      </c>
      <c r="T16" s="4">
        <v>85021</v>
      </c>
      <c r="U16" s="4">
        <v>340</v>
      </c>
      <c r="V16" s="4">
        <v>21534.799999999999</v>
      </c>
      <c r="W16" s="4">
        <v>32771.976799999997</v>
      </c>
    </row>
    <row r="17" spans="2:23">
      <c r="B17" s="1" t="s">
        <v>24</v>
      </c>
      <c r="C17" s="4">
        <v>183</v>
      </c>
      <c r="D17" s="4">
        <v>12565</v>
      </c>
      <c r="E17" s="4">
        <v>1658251</v>
      </c>
      <c r="F17" s="4">
        <v>17023573</v>
      </c>
      <c r="G17" s="4">
        <v>80799096</v>
      </c>
      <c r="H17" s="4">
        <v>95</v>
      </c>
      <c r="I17" s="4">
        <v>17</v>
      </c>
      <c r="J17" s="4">
        <v>68</v>
      </c>
      <c r="K17" s="4">
        <v>0</v>
      </c>
      <c r="L17" s="4">
        <v>3833</v>
      </c>
      <c r="M17" s="4">
        <v>2</v>
      </c>
      <c r="N17" s="4">
        <v>131.97380000000001</v>
      </c>
      <c r="O17" s="4">
        <v>201.23330000000001</v>
      </c>
      <c r="P17" s="4">
        <v>39951</v>
      </c>
      <c r="Q17" s="4">
        <v>51</v>
      </c>
      <c r="R17" s="4">
        <v>1354.8407</v>
      </c>
      <c r="S17" s="4">
        <v>2118.4061000000002</v>
      </c>
      <c r="T17" s="4">
        <v>196734</v>
      </c>
      <c r="U17" s="4">
        <v>301</v>
      </c>
      <c r="V17" s="4">
        <v>6430.4890999999998</v>
      </c>
      <c r="W17" s="4">
        <v>10075.847400000001</v>
      </c>
    </row>
    <row r="18" spans="2:23">
      <c r="B18" s="1" t="s">
        <v>25</v>
      </c>
      <c r="C18" s="4">
        <v>169</v>
      </c>
      <c r="D18" s="4">
        <v>11519</v>
      </c>
      <c r="E18" s="4">
        <v>1619960</v>
      </c>
      <c r="F18" s="4">
        <v>16529813</v>
      </c>
      <c r="G18" s="4">
        <v>78737804</v>
      </c>
      <c r="H18" s="4">
        <v>92</v>
      </c>
      <c r="I18" s="4">
        <v>20</v>
      </c>
      <c r="J18" s="4">
        <v>68</v>
      </c>
      <c r="K18" s="4">
        <v>0</v>
      </c>
      <c r="L18" s="4">
        <v>5085</v>
      </c>
      <c r="M18" s="4">
        <v>1</v>
      </c>
      <c r="N18" s="4">
        <v>140.6337</v>
      </c>
      <c r="O18" s="4">
        <v>204.02690000000001</v>
      </c>
      <c r="P18" s="4">
        <v>49857</v>
      </c>
      <c r="Q18" s="4">
        <v>45</v>
      </c>
      <c r="R18" s="4">
        <v>1435.0042000000001</v>
      </c>
      <c r="S18" s="4">
        <v>2147.3780000000002</v>
      </c>
      <c r="T18" s="4">
        <v>236992</v>
      </c>
      <c r="U18" s="4">
        <v>301</v>
      </c>
      <c r="V18" s="4">
        <v>6835.4722000000002</v>
      </c>
      <c r="W18" s="4">
        <v>10216.9362</v>
      </c>
    </row>
    <row r="19" spans="2:23">
      <c r="B19" s="1" t="s">
        <v>26</v>
      </c>
      <c r="C19" s="4">
        <v>151</v>
      </c>
      <c r="D19" s="4">
        <v>9765</v>
      </c>
      <c r="E19" s="4">
        <v>1397371</v>
      </c>
      <c r="F19" s="4">
        <v>14212825</v>
      </c>
      <c r="G19" s="4">
        <v>68113266</v>
      </c>
      <c r="H19" s="4">
        <v>90</v>
      </c>
      <c r="I19" s="4">
        <v>24</v>
      </c>
      <c r="J19" s="4">
        <v>64</v>
      </c>
      <c r="K19" s="4">
        <v>0</v>
      </c>
      <c r="L19" s="4">
        <v>3838</v>
      </c>
      <c r="M19" s="4">
        <v>3</v>
      </c>
      <c r="N19" s="4">
        <v>143.09989999999999</v>
      </c>
      <c r="O19" s="4">
        <v>197.8091</v>
      </c>
      <c r="P19" s="4">
        <v>39823</v>
      </c>
      <c r="Q19" s="4">
        <v>48</v>
      </c>
      <c r="R19" s="4">
        <v>1455.4864</v>
      </c>
      <c r="S19" s="4">
        <v>2067.5632999999998</v>
      </c>
      <c r="T19" s="4">
        <v>197119</v>
      </c>
      <c r="U19" s="4">
        <v>301</v>
      </c>
      <c r="V19" s="4">
        <v>6975.2448999999997</v>
      </c>
      <c r="W19" s="4">
        <v>9940.7325000000001</v>
      </c>
    </row>
    <row r="20" spans="2:23">
      <c r="B20" s="1" t="s">
        <v>27</v>
      </c>
      <c r="C20" s="4">
        <v>123</v>
      </c>
      <c r="D20" s="4">
        <v>8086</v>
      </c>
      <c r="E20" s="4">
        <v>1129125</v>
      </c>
      <c r="F20" s="4">
        <v>11504467</v>
      </c>
      <c r="G20" s="4">
        <v>54946093</v>
      </c>
      <c r="H20" s="4">
        <v>91</v>
      </c>
      <c r="I20" s="4">
        <v>22</v>
      </c>
      <c r="J20" s="4">
        <v>65</v>
      </c>
      <c r="K20" s="4">
        <v>0</v>
      </c>
      <c r="L20" s="4">
        <v>4198</v>
      </c>
      <c r="M20" s="4">
        <v>2</v>
      </c>
      <c r="N20" s="4">
        <v>139.6395</v>
      </c>
      <c r="O20" s="4">
        <v>214.49459999999999</v>
      </c>
      <c r="P20" s="4">
        <v>51450</v>
      </c>
      <c r="Q20" s="4">
        <v>53</v>
      </c>
      <c r="R20" s="4">
        <v>1422.7637</v>
      </c>
      <c r="S20" s="4">
        <v>2257.2856000000002</v>
      </c>
      <c r="T20" s="4">
        <v>217095</v>
      </c>
      <c r="U20" s="4">
        <v>301</v>
      </c>
      <c r="V20" s="4">
        <v>6795.2130999999999</v>
      </c>
      <c r="W20" s="4">
        <v>10755.6471</v>
      </c>
    </row>
    <row r="21" spans="2:23">
      <c r="B21" s="1" t="s">
        <v>28</v>
      </c>
      <c r="C21" s="4">
        <v>11</v>
      </c>
      <c r="D21" s="4">
        <v>821</v>
      </c>
      <c r="E21" s="4">
        <v>102707</v>
      </c>
      <c r="F21" s="4">
        <v>1062454</v>
      </c>
      <c r="G21" s="4">
        <v>5032707</v>
      </c>
      <c r="H21" s="4">
        <v>128</v>
      </c>
      <c r="I21" s="4">
        <v>49</v>
      </c>
      <c r="J21" s="4">
        <v>74</v>
      </c>
      <c r="K21" s="4">
        <v>0</v>
      </c>
      <c r="L21" s="4">
        <v>2678</v>
      </c>
      <c r="M21" s="4">
        <v>6</v>
      </c>
      <c r="N21" s="4">
        <v>125.09990000000001</v>
      </c>
      <c r="O21" s="4">
        <v>208.7886</v>
      </c>
      <c r="P21" s="4">
        <v>27802</v>
      </c>
      <c r="Q21" s="4">
        <v>57</v>
      </c>
      <c r="R21" s="4">
        <v>1294.0974000000001</v>
      </c>
      <c r="S21" s="4">
        <v>2204.5724</v>
      </c>
      <c r="T21" s="4">
        <v>136922</v>
      </c>
      <c r="U21" s="4">
        <v>302</v>
      </c>
      <c r="V21" s="4">
        <v>6129.9719999999998</v>
      </c>
      <c r="W21" s="4">
        <v>10504.2022</v>
      </c>
    </row>
    <row r="22" spans="2:23">
      <c r="B22" s="1" t="s">
        <v>29</v>
      </c>
      <c r="C22" s="4">
        <v>7</v>
      </c>
      <c r="D22" s="4">
        <v>427</v>
      </c>
      <c r="E22" s="4">
        <v>65152</v>
      </c>
      <c r="F22" s="4">
        <v>667739</v>
      </c>
      <c r="G22" s="4">
        <v>3167760</v>
      </c>
      <c r="H22" s="4">
        <v>76</v>
      </c>
      <c r="I22" s="4">
        <v>43</v>
      </c>
      <c r="J22" s="4">
        <v>61</v>
      </c>
      <c r="K22" s="4">
        <v>0</v>
      </c>
      <c r="L22" s="4">
        <v>2679</v>
      </c>
      <c r="M22" s="4">
        <v>6</v>
      </c>
      <c r="N22" s="4">
        <v>152.58080000000001</v>
      </c>
      <c r="O22" s="4">
        <v>234.6036</v>
      </c>
      <c r="P22" s="4">
        <v>28897</v>
      </c>
      <c r="Q22" s="4">
        <v>60</v>
      </c>
      <c r="R22" s="4">
        <v>1563.7916</v>
      </c>
      <c r="S22" s="4">
        <v>2480.4825999999998</v>
      </c>
      <c r="T22" s="4">
        <v>139074</v>
      </c>
      <c r="U22" s="4">
        <v>312</v>
      </c>
      <c r="V22" s="4">
        <v>7418.6417000000001</v>
      </c>
      <c r="W22" s="4">
        <v>11775.381100000001</v>
      </c>
    </row>
    <row r="23" spans="2:23">
      <c r="B23" s="1" t="s">
        <v>30</v>
      </c>
      <c r="C23" s="4">
        <v>3</v>
      </c>
      <c r="D23" s="4">
        <v>185</v>
      </c>
      <c r="E23" s="4">
        <v>29569</v>
      </c>
      <c r="F23" s="4">
        <v>294661</v>
      </c>
      <c r="G23" s="4">
        <v>1432547</v>
      </c>
      <c r="H23" s="4">
        <v>79</v>
      </c>
      <c r="I23" s="4">
        <v>45</v>
      </c>
      <c r="J23" s="4">
        <v>61</v>
      </c>
      <c r="K23" s="4">
        <v>0</v>
      </c>
      <c r="L23" s="4">
        <v>2682</v>
      </c>
      <c r="M23" s="4">
        <v>8</v>
      </c>
      <c r="N23" s="4">
        <v>159.83240000000001</v>
      </c>
      <c r="O23" s="4">
        <v>276.0043</v>
      </c>
      <c r="P23" s="4">
        <v>28409</v>
      </c>
      <c r="Q23" s="4">
        <v>74</v>
      </c>
      <c r="R23" s="4">
        <v>1592.7621999999999</v>
      </c>
      <c r="S23" s="4">
        <v>2840.4630999999999</v>
      </c>
      <c r="T23" s="4">
        <v>138081</v>
      </c>
      <c r="U23" s="4">
        <v>351</v>
      </c>
      <c r="V23" s="4">
        <v>7743.4973</v>
      </c>
      <c r="W23" s="4">
        <v>13856.4328</v>
      </c>
    </row>
    <row r="24" spans="2:23">
      <c r="B24" s="1" t="s">
        <v>31</v>
      </c>
      <c r="C24" s="4">
        <v>1</v>
      </c>
      <c r="D24" s="4">
        <v>46</v>
      </c>
      <c r="E24" s="4">
        <v>10004</v>
      </c>
      <c r="F24" s="4">
        <v>100750</v>
      </c>
      <c r="G24" s="4">
        <v>486195</v>
      </c>
      <c r="H24" s="4">
        <v>46</v>
      </c>
      <c r="I24" s="4">
        <v>46</v>
      </c>
      <c r="J24" s="4">
        <v>46</v>
      </c>
      <c r="K24" s="4">
        <v>0</v>
      </c>
      <c r="L24" s="4">
        <v>2719</v>
      </c>
      <c r="M24" s="4">
        <v>8</v>
      </c>
      <c r="N24" s="4">
        <v>217.47829999999999</v>
      </c>
      <c r="O24" s="4">
        <v>478.13029999999998</v>
      </c>
      <c r="P24" s="4">
        <v>28504</v>
      </c>
      <c r="Q24" s="4">
        <v>99</v>
      </c>
      <c r="R24" s="4">
        <v>2190.2174</v>
      </c>
      <c r="S24" s="4">
        <v>4920.6983</v>
      </c>
      <c r="T24" s="4">
        <v>139641</v>
      </c>
      <c r="U24" s="4">
        <v>402</v>
      </c>
      <c r="V24" s="4">
        <v>10569.4565</v>
      </c>
      <c r="W24" s="4">
        <v>23956.183799999999</v>
      </c>
    </row>
    <row r="25" spans="2:23">
      <c r="B25" s="1" t="s">
        <v>32</v>
      </c>
      <c r="C25" s="4">
        <v>10</v>
      </c>
      <c r="D25" s="4">
        <v>12</v>
      </c>
      <c r="E25" s="4">
        <v>342</v>
      </c>
      <c r="F25" s="4">
        <v>2785</v>
      </c>
      <c r="G25" s="4">
        <v>9503</v>
      </c>
      <c r="H25" s="4">
        <v>2</v>
      </c>
      <c r="I25" s="4">
        <v>1</v>
      </c>
      <c r="J25" s="4">
        <v>1</v>
      </c>
      <c r="K25" s="4">
        <v>0</v>
      </c>
      <c r="L25" s="4">
        <v>71</v>
      </c>
      <c r="M25" s="4">
        <v>9</v>
      </c>
      <c r="N25" s="4">
        <v>28.5</v>
      </c>
      <c r="O25" s="4">
        <v>15.8719</v>
      </c>
      <c r="P25" s="4">
        <v>483</v>
      </c>
      <c r="Q25" s="4">
        <v>62</v>
      </c>
      <c r="R25" s="4">
        <v>232.08330000000001</v>
      </c>
      <c r="S25" s="4">
        <v>135.44460000000001</v>
      </c>
      <c r="T25" s="4">
        <v>1348</v>
      </c>
      <c r="U25" s="4">
        <v>339</v>
      </c>
      <c r="V25" s="4">
        <v>791.91669999999999</v>
      </c>
      <c r="W25" s="4">
        <v>332.6979</v>
      </c>
    </row>
    <row r="26" spans="2:23">
      <c r="B26" s="1" t="s">
        <v>33</v>
      </c>
      <c r="C26" s="4">
        <v>11</v>
      </c>
      <c r="D26" s="4">
        <v>83</v>
      </c>
      <c r="E26" s="4">
        <v>99388</v>
      </c>
      <c r="F26" s="4">
        <v>5012087</v>
      </c>
      <c r="G26" s="4">
        <v>14563123</v>
      </c>
      <c r="H26" s="4">
        <v>15</v>
      </c>
      <c r="I26" s="4">
        <v>3</v>
      </c>
      <c r="J26" s="4">
        <v>7</v>
      </c>
      <c r="K26" s="4">
        <v>0</v>
      </c>
      <c r="L26" s="4">
        <v>9908</v>
      </c>
      <c r="M26" s="4">
        <v>1</v>
      </c>
      <c r="N26" s="4">
        <v>1197.4458</v>
      </c>
      <c r="O26" s="4">
        <v>2219.9782</v>
      </c>
      <c r="P26" s="4">
        <v>467793</v>
      </c>
      <c r="Q26" s="4">
        <v>72</v>
      </c>
      <c r="R26" s="4">
        <v>60386.590400000001</v>
      </c>
      <c r="S26" s="4">
        <v>109422.8251</v>
      </c>
      <c r="T26" s="4">
        <v>1379326</v>
      </c>
      <c r="U26" s="4">
        <v>301</v>
      </c>
      <c r="V26" s="4">
        <v>175459.31330000001</v>
      </c>
      <c r="W26" s="4">
        <v>315596.2586</v>
      </c>
    </row>
    <row r="27" spans="2:23">
      <c r="B27" s="1" t="s">
        <v>34</v>
      </c>
      <c r="C27" s="4">
        <v>2</v>
      </c>
      <c r="D27" s="4">
        <v>33</v>
      </c>
      <c r="E27" s="4">
        <v>993</v>
      </c>
      <c r="F27" s="4">
        <v>17918</v>
      </c>
      <c r="G27" s="4">
        <v>77391</v>
      </c>
      <c r="H27" s="4">
        <v>23</v>
      </c>
      <c r="I27" s="4">
        <v>10</v>
      </c>
      <c r="J27" s="4">
        <v>16</v>
      </c>
      <c r="K27" s="4">
        <v>0</v>
      </c>
      <c r="L27" s="4">
        <v>95</v>
      </c>
      <c r="M27" s="4">
        <v>4</v>
      </c>
      <c r="N27" s="4">
        <v>30.090900000000001</v>
      </c>
      <c r="O27" s="4">
        <v>25.974799999999998</v>
      </c>
      <c r="P27" s="4">
        <v>1968</v>
      </c>
      <c r="Q27" s="4">
        <v>43</v>
      </c>
      <c r="R27" s="4">
        <v>542.96969999999999</v>
      </c>
      <c r="S27" s="4">
        <v>515.07209999999998</v>
      </c>
      <c r="T27" s="4">
        <v>8190</v>
      </c>
      <c r="U27" s="4">
        <v>305</v>
      </c>
      <c r="V27" s="4">
        <v>2345.1817999999998</v>
      </c>
      <c r="W27" s="4">
        <v>2199.3253</v>
      </c>
    </row>
    <row r="28" spans="2:23">
      <c r="B28" s="1" t="s">
        <v>35</v>
      </c>
      <c r="C28" s="4">
        <v>6</v>
      </c>
      <c r="D28" s="4">
        <v>6</v>
      </c>
      <c r="E28" s="4">
        <v>1693</v>
      </c>
      <c r="F28" s="4">
        <v>21132</v>
      </c>
      <c r="G28" s="4">
        <v>80324</v>
      </c>
      <c r="H28" s="4">
        <v>1</v>
      </c>
      <c r="I28" s="4">
        <v>1</v>
      </c>
      <c r="J28" s="4">
        <v>1</v>
      </c>
      <c r="K28" s="4">
        <v>0</v>
      </c>
      <c r="L28" s="4">
        <v>379</v>
      </c>
      <c r="M28" s="4">
        <v>245</v>
      </c>
      <c r="N28" s="4">
        <v>282.16669999999999</v>
      </c>
      <c r="O28" s="4">
        <v>44.663200000000003</v>
      </c>
      <c r="P28" s="4">
        <v>3979</v>
      </c>
      <c r="Q28" s="4">
        <v>3162</v>
      </c>
      <c r="R28" s="4">
        <v>3522</v>
      </c>
      <c r="S28" s="4">
        <v>339.87009999999998</v>
      </c>
      <c r="T28" s="4">
        <v>16062</v>
      </c>
      <c r="U28" s="4">
        <v>12571</v>
      </c>
      <c r="V28" s="4">
        <v>13387.3333</v>
      </c>
      <c r="W28" s="4">
        <v>1218.3952999999999</v>
      </c>
    </row>
    <row r="29" spans="2:23">
      <c r="B29" s="1" t="s">
        <v>36</v>
      </c>
      <c r="C29" s="4">
        <v>6</v>
      </c>
      <c r="D29" s="4">
        <v>8</v>
      </c>
      <c r="E29" s="4">
        <v>291</v>
      </c>
      <c r="F29" s="4">
        <v>6192</v>
      </c>
      <c r="G29" s="4">
        <v>22890</v>
      </c>
      <c r="H29" s="4">
        <v>2</v>
      </c>
      <c r="I29" s="4">
        <v>1</v>
      </c>
      <c r="J29" s="4">
        <v>1</v>
      </c>
      <c r="K29" s="4">
        <v>0</v>
      </c>
      <c r="L29" s="4">
        <v>53</v>
      </c>
      <c r="M29" s="4">
        <v>8</v>
      </c>
      <c r="N29" s="4">
        <v>36.375</v>
      </c>
      <c r="O29" s="4">
        <v>12.1134</v>
      </c>
      <c r="P29" s="4">
        <v>1795</v>
      </c>
      <c r="Q29" s="4">
        <v>517</v>
      </c>
      <c r="R29" s="4">
        <v>774</v>
      </c>
      <c r="S29" s="4">
        <v>395.63299999999998</v>
      </c>
      <c r="T29" s="4">
        <v>4114</v>
      </c>
      <c r="U29" s="4">
        <v>1073</v>
      </c>
      <c r="V29" s="4">
        <v>2861.25</v>
      </c>
      <c r="W29" s="4">
        <v>834.69269999999995</v>
      </c>
    </row>
    <row r="30" spans="2:2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2:23">
      <c r="B31" s="2" t="s">
        <v>40</v>
      </c>
      <c r="C31" s="4">
        <f>SUM(C1:C29)</f>
        <v>3449</v>
      </c>
      <c r="D31" s="4">
        <f t="shared" ref="D31:G31" si="0">SUM(D1:D29)</f>
        <v>247866</v>
      </c>
      <c r="E31" s="4">
        <f t="shared" si="0"/>
        <v>23742577</v>
      </c>
      <c r="F31" s="4">
        <f t="shared" si="0"/>
        <v>262254300</v>
      </c>
      <c r="G31" s="4">
        <f t="shared" si="0"/>
        <v>1217753779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B2:G34"/>
  <sheetViews>
    <sheetView workbookViewId="0">
      <selection activeCell="B3" sqref="B3"/>
    </sheetView>
  </sheetViews>
  <sheetFormatPr baseColWidth="10" defaultRowHeight="16"/>
  <cols>
    <col min="1" max="1" width="10.7109375" style="2"/>
    <col min="2" max="2" width="6" style="2" customWidth="1"/>
    <col min="3" max="3" width="8.7109375" style="2" customWidth="1"/>
    <col min="4" max="4" width="10.85546875" style="2" customWidth="1"/>
    <col min="5" max="5" width="13" style="2" customWidth="1"/>
    <col min="6" max="6" width="15.7109375" style="2" customWidth="1"/>
    <col min="7" max="7" width="16.28515625" style="2" customWidth="1"/>
    <col min="8" max="9" width="9.5703125" style="2" customWidth="1"/>
    <col min="10" max="11" width="8.5703125" style="2" customWidth="1"/>
    <col min="12" max="12" width="8.28515625" style="2" customWidth="1"/>
    <col min="13" max="13" width="5.7109375" style="2" customWidth="1"/>
    <col min="14" max="15" width="9.28515625" style="2" customWidth="1"/>
    <col min="16" max="16" width="10.28515625" style="2" customWidth="1"/>
    <col min="17" max="17" width="7.28515625" style="2" customWidth="1"/>
    <col min="18" max="19" width="10.28515625" style="2" customWidth="1"/>
    <col min="20" max="20" width="11.28515625" style="2" customWidth="1"/>
    <col min="21" max="21" width="6.42578125" style="2" customWidth="1"/>
    <col min="22" max="22" width="11.28515625" style="2" customWidth="1"/>
    <col min="23" max="23" width="12.28515625" style="2" customWidth="1"/>
    <col min="24" max="16384" width="10.7109375" style="2"/>
  </cols>
  <sheetData>
    <row r="2" spans="2:7">
      <c r="B2" s="5" t="s">
        <v>0</v>
      </c>
      <c r="C2" s="6" t="s">
        <v>45</v>
      </c>
      <c r="D2" s="6" t="s">
        <v>45</v>
      </c>
      <c r="E2" s="6" t="s">
        <v>45</v>
      </c>
      <c r="F2" s="6" t="s">
        <v>45</v>
      </c>
      <c r="G2" s="6" t="s">
        <v>45</v>
      </c>
    </row>
    <row r="3" spans="2:7">
      <c r="B3" s="6"/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</row>
    <row r="4" spans="2:7">
      <c r="B4" s="1" t="s">
        <v>11</v>
      </c>
      <c r="C4" s="4">
        <f>'tokendb-0808-all-min0chars'!C4-'tokendb-0802-all-min0chars'!C4</f>
        <v>0</v>
      </c>
      <c r="D4" s="4">
        <f>'tokendb-0808-all-min0chars'!D4-'tokendb-0802-all-min0chars'!D4</f>
        <v>0</v>
      </c>
      <c r="E4" s="4">
        <f>'tokendb-0808-all-min0chars'!E4-'tokendb-0802-all-min0chars'!E4</f>
        <v>0</v>
      </c>
      <c r="F4" s="4">
        <f>'tokendb-0808-all-min0chars'!F4-'tokendb-0802-all-min0chars'!F4</f>
        <v>0</v>
      </c>
      <c r="G4" s="4">
        <f>'tokendb-0808-all-min0chars'!G4-'tokendb-0802-all-min0chars'!G4</f>
        <v>0</v>
      </c>
    </row>
    <row r="5" spans="2:7">
      <c r="B5" s="1" t="s">
        <v>12</v>
      </c>
      <c r="C5" s="4">
        <f>'tokendb-0808-all-min0chars'!C5-'tokendb-0802-all-min0chars'!C5</f>
        <v>5</v>
      </c>
      <c r="D5" s="4">
        <f>'tokendb-0808-all-min0chars'!D5-'tokendb-0802-all-min0chars'!D5</f>
        <v>1017</v>
      </c>
      <c r="E5" s="4">
        <f>'tokendb-0808-all-min0chars'!E5-'tokendb-0802-all-min0chars'!E5</f>
        <v>38746</v>
      </c>
      <c r="F5" s="4">
        <f>'tokendb-0808-all-min0chars'!F5-'tokendb-0802-all-min0chars'!F5</f>
        <v>407748</v>
      </c>
      <c r="G5" s="4">
        <f>'tokendb-0808-all-min0chars'!G5-'tokendb-0802-all-min0chars'!G5</f>
        <v>1982249</v>
      </c>
    </row>
    <row r="6" spans="2:7">
      <c r="B6" s="1" t="s">
        <v>13</v>
      </c>
      <c r="C6" s="4">
        <f>'tokendb-0808-all-min0chars'!C6-'tokendb-0802-all-min0chars'!C6</f>
        <v>1</v>
      </c>
      <c r="D6" s="4">
        <f>'tokendb-0808-all-min0chars'!D6-'tokendb-0802-all-min0chars'!D6</f>
        <v>142</v>
      </c>
      <c r="E6" s="4">
        <f>'tokendb-0808-all-min0chars'!E6-'tokendb-0802-all-min0chars'!E6</f>
        <v>8559</v>
      </c>
      <c r="F6" s="4">
        <f>'tokendb-0808-all-min0chars'!F6-'tokendb-0802-all-min0chars'!F6</f>
        <v>63047</v>
      </c>
      <c r="G6" s="4">
        <f>'tokendb-0808-all-min0chars'!G6-'tokendb-0802-all-min0chars'!G6</f>
        <v>303652</v>
      </c>
    </row>
    <row r="7" spans="2:7">
      <c r="B7" s="1" t="s">
        <v>14</v>
      </c>
      <c r="C7" s="4">
        <f>'tokendb-0808-all-min0chars'!C7-'tokendb-0802-all-min0chars'!C7</f>
        <v>7</v>
      </c>
      <c r="D7" s="4">
        <f>'tokendb-0808-all-min0chars'!D7-'tokendb-0802-all-min0chars'!D7</f>
        <v>754</v>
      </c>
      <c r="E7" s="4">
        <f>'tokendb-0808-all-min0chars'!E7-'tokendb-0802-all-min0chars'!E7</f>
        <v>68242</v>
      </c>
      <c r="F7" s="4">
        <f>'tokendb-0808-all-min0chars'!F7-'tokendb-0802-all-min0chars'!F7</f>
        <v>669103</v>
      </c>
      <c r="G7" s="4">
        <f>'tokendb-0808-all-min0chars'!G7-'tokendb-0802-all-min0chars'!G7</f>
        <v>3292239</v>
      </c>
    </row>
    <row r="8" spans="2:7">
      <c r="B8" s="1" t="s">
        <v>15</v>
      </c>
      <c r="C8" s="4">
        <f>'tokendb-0808-all-min0chars'!C8-'tokendb-0802-all-min0chars'!C8</f>
        <v>0</v>
      </c>
      <c r="D8" s="4">
        <f>'tokendb-0808-all-min0chars'!D8-'tokendb-0802-all-min0chars'!D8</f>
        <v>237</v>
      </c>
      <c r="E8" s="4">
        <f>'tokendb-0808-all-min0chars'!E8-'tokendb-0802-all-min0chars'!E8</f>
        <v>-11966</v>
      </c>
      <c r="F8" s="4">
        <f>'tokendb-0808-all-min0chars'!F8-'tokendb-0802-all-min0chars'!F8</f>
        <v>-393868</v>
      </c>
      <c r="G8" s="4">
        <f>'tokendb-0808-all-min0chars'!G8-'tokendb-0802-all-min0chars'!G8</f>
        <v>-1232282</v>
      </c>
    </row>
    <row r="9" spans="2:7">
      <c r="B9" s="1" t="s">
        <v>16</v>
      </c>
      <c r="C9" s="4">
        <f>'tokendb-0808-all-min0chars'!C9-'tokendb-0802-all-min0chars'!C9</f>
        <v>1</v>
      </c>
      <c r="D9" s="4">
        <f>'tokendb-0808-all-min0chars'!D9-'tokendb-0802-all-min0chars'!D9</f>
        <v>38</v>
      </c>
      <c r="E9" s="4">
        <f>'tokendb-0808-all-min0chars'!E9-'tokendb-0802-all-min0chars'!E9</f>
        <v>-1774</v>
      </c>
      <c r="F9" s="4">
        <f>'tokendb-0808-all-min0chars'!F9-'tokendb-0802-all-min0chars'!F9</f>
        <v>-32498</v>
      </c>
      <c r="G9" s="4">
        <f>'tokendb-0808-all-min0chars'!G9-'tokendb-0802-all-min0chars'!G9</f>
        <v>-106898</v>
      </c>
    </row>
    <row r="10" spans="2:7">
      <c r="B10" s="1" t="s">
        <v>17</v>
      </c>
      <c r="C10" s="4">
        <f>'tokendb-0808-all-min0chars'!C10-'tokendb-0802-all-min0chars'!C10</f>
        <v>0</v>
      </c>
      <c r="D10" s="4">
        <f>'tokendb-0808-all-min0chars'!D10-'tokendb-0802-all-min0chars'!D10</f>
        <v>0</v>
      </c>
      <c r="E10" s="4">
        <f>'tokendb-0808-all-min0chars'!E10-'tokendb-0802-all-min0chars'!E10</f>
        <v>0</v>
      </c>
      <c r="F10" s="4">
        <f>'tokendb-0808-all-min0chars'!F10-'tokendb-0802-all-min0chars'!F10</f>
        <v>0</v>
      </c>
      <c r="G10" s="4">
        <f>'tokendb-0808-all-min0chars'!G10-'tokendb-0802-all-min0chars'!G10</f>
        <v>0</v>
      </c>
    </row>
    <row r="11" spans="2:7">
      <c r="B11" s="1" t="s">
        <v>18</v>
      </c>
      <c r="C11" s="4">
        <f>'tokendb-0808-all-min0chars'!C11-'tokendb-0802-all-min0chars'!C11</f>
        <v>0</v>
      </c>
      <c r="D11" s="4">
        <f>'tokendb-0808-all-min0chars'!D11-'tokendb-0802-all-min0chars'!D11</f>
        <v>0</v>
      </c>
      <c r="E11" s="4">
        <f>'tokendb-0808-all-min0chars'!E11-'tokendb-0802-all-min0chars'!E11</f>
        <v>-2</v>
      </c>
      <c r="F11" s="4">
        <f>'tokendb-0808-all-min0chars'!F11-'tokendb-0802-all-min0chars'!F11</f>
        <v>-2</v>
      </c>
      <c r="G11" s="4">
        <f>'tokendb-0808-all-min0chars'!G11-'tokendb-0802-all-min0chars'!G11</f>
        <v>-6</v>
      </c>
    </row>
    <row r="12" spans="2:7">
      <c r="B12" s="1" t="s">
        <v>19</v>
      </c>
      <c r="C12" s="4">
        <f>'tokendb-0808-all-min0chars'!C12-'tokendb-0802-all-min0chars'!C12</f>
        <v>14</v>
      </c>
      <c r="D12" s="4">
        <f>'tokendb-0808-all-min0chars'!D12-'tokendb-0802-all-min0chars'!D12</f>
        <v>1866</v>
      </c>
      <c r="E12" s="4">
        <f>'tokendb-0808-all-min0chars'!E12-'tokendb-0802-all-min0chars'!E12</f>
        <v>93449</v>
      </c>
      <c r="F12" s="4">
        <f>'tokendb-0808-all-min0chars'!F12-'tokendb-0802-all-min0chars'!F12</f>
        <v>1059423</v>
      </c>
      <c r="G12" s="4">
        <f>'tokendb-0808-all-min0chars'!G12-'tokendb-0802-all-min0chars'!G12</f>
        <v>5174179</v>
      </c>
    </row>
    <row r="13" spans="2:7">
      <c r="B13" s="1" t="s">
        <v>20</v>
      </c>
      <c r="C13" s="4">
        <f>'tokendb-0808-all-min0chars'!C13-'tokendb-0802-all-min0chars'!C13</f>
        <v>0</v>
      </c>
      <c r="D13" s="4">
        <f>'tokendb-0808-all-min0chars'!D13-'tokendb-0802-all-min0chars'!D13</f>
        <v>-8</v>
      </c>
      <c r="E13" s="4">
        <f>'tokendb-0808-all-min0chars'!E13-'tokendb-0802-all-min0chars'!E13</f>
        <v>1371</v>
      </c>
      <c r="F13" s="4">
        <f>'tokendb-0808-all-min0chars'!F13-'tokendb-0802-all-min0chars'!F13</f>
        <v>-12093</v>
      </c>
      <c r="G13" s="4">
        <f>'tokendb-0808-all-min0chars'!G13-'tokendb-0802-all-min0chars'!G13</f>
        <v>-32749</v>
      </c>
    </row>
    <row r="14" spans="2:7">
      <c r="B14" s="1" t="s">
        <v>21</v>
      </c>
      <c r="C14" s="4">
        <f>'tokendb-0808-all-min0chars'!C14-'tokendb-0802-all-min0chars'!C14</f>
        <v>2</v>
      </c>
      <c r="D14" s="4">
        <f>'tokendb-0808-all-min0chars'!D14-'tokendb-0802-all-min0chars'!D14</f>
        <v>19</v>
      </c>
      <c r="E14" s="4">
        <f>'tokendb-0808-all-min0chars'!E14-'tokendb-0802-all-min0chars'!E14</f>
        <v>45</v>
      </c>
      <c r="F14" s="4">
        <f>'tokendb-0808-all-min0chars'!F14-'tokendb-0802-all-min0chars'!F14</f>
        <v>-907</v>
      </c>
      <c r="G14" s="4">
        <f>'tokendb-0808-all-min0chars'!G14-'tokendb-0802-all-min0chars'!G14</f>
        <v>-2918</v>
      </c>
    </row>
    <row r="15" spans="2:7">
      <c r="B15" s="1" t="s">
        <v>22</v>
      </c>
      <c r="C15" s="4">
        <f>'tokendb-0808-all-min0chars'!C15-'tokendb-0802-all-min0chars'!C15</f>
        <v>11</v>
      </c>
      <c r="D15" s="4">
        <f>'tokendb-0808-all-min0chars'!D15-'tokendb-0802-all-min0chars'!D15</f>
        <v>220</v>
      </c>
      <c r="E15" s="4">
        <f>'tokendb-0808-all-min0chars'!E15-'tokendb-0802-all-min0chars'!E15</f>
        <v>7571</v>
      </c>
      <c r="F15" s="4">
        <f>'tokendb-0808-all-min0chars'!F15-'tokendb-0802-all-min0chars'!F15</f>
        <v>84829</v>
      </c>
      <c r="G15" s="4">
        <f>'tokendb-0808-all-min0chars'!G15-'tokendb-0802-all-min0chars'!G15</f>
        <v>379661</v>
      </c>
    </row>
    <row r="16" spans="2:7">
      <c r="B16" s="1" t="s">
        <v>23</v>
      </c>
      <c r="C16" s="4">
        <f>'tokendb-0808-all-min0chars'!C16-'tokendb-0802-all-min0chars'!C16</f>
        <v>0</v>
      </c>
      <c r="D16" s="4">
        <f>'tokendb-0808-all-min0chars'!D16-'tokendb-0802-all-min0chars'!D16</f>
        <v>0</v>
      </c>
      <c r="E16" s="4">
        <f>'tokendb-0808-all-min0chars'!E16-'tokendb-0802-all-min0chars'!E16</f>
        <v>0</v>
      </c>
      <c r="F16" s="4">
        <f>'tokendb-0808-all-min0chars'!F16-'tokendb-0802-all-min0chars'!F16</f>
        <v>0</v>
      </c>
      <c r="G16" s="4">
        <f>'tokendb-0808-all-min0chars'!G16-'tokendb-0802-all-min0chars'!G16</f>
        <v>0</v>
      </c>
    </row>
    <row r="17" spans="2:7">
      <c r="B17" s="1" t="s">
        <v>24</v>
      </c>
      <c r="C17" s="4">
        <f>'tokendb-0808-all-min0chars'!C17-'tokendb-0802-all-min0chars'!C17</f>
        <v>413</v>
      </c>
      <c r="D17" s="4">
        <f>'tokendb-0808-all-min0chars'!D17-'tokendb-0802-all-min0chars'!D17</f>
        <v>45094</v>
      </c>
      <c r="E17" s="4">
        <f>'tokendb-0808-all-min0chars'!E17-'tokendb-0802-all-min0chars'!E17</f>
        <v>3765844</v>
      </c>
      <c r="F17" s="4">
        <f>'tokendb-0808-all-min0chars'!F17-'tokendb-0802-all-min0chars'!F17</f>
        <v>37620541</v>
      </c>
      <c r="G17" s="4">
        <f>'tokendb-0808-all-min0chars'!G17-'tokendb-0802-all-min0chars'!G17</f>
        <v>183476298</v>
      </c>
    </row>
    <row r="18" spans="2:7">
      <c r="B18" s="1" t="s">
        <v>25</v>
      </c>
      <c r="C18" s="4">
        <f>'tokendb-0808-all-min0chars'!C18-'tokendb-0802-all-min0chars'!C18</f>
        <v>314</v>
      </c>
      <c r="D18" s="4">
        <f>'tokendb-0808-all-min0chars'!D18-'tokendb-0802-all-min0chars'!D18</f>
        <v>34765</v>
      </c>
      <c r="E18" s="4">
        <f>'tokendb-0808-all-min0chars'!E18-'tokendb-0802-all-min0chars'!E18</f>
        <v>2950879</v>
      </c>
      <c r="F18" s="4">
        <f>'tokendb-0808-all-min0chars'!F18-'tokendb-0802-all-min0chars'!F18</f>
        <v>29267969</v>
      </c>
      <c r="G18" s="4">
        <f>'tokendb-0808-all-min0chars'!G18-'tokendb-0802-all-min0chars'!G18</f>
        <v>142617081</v>
      </c>
    </row>
    <row r="19" spans="2:7">
      <c r="B19" s="1" t="s">
        <v>26</v>
      </c>
      <c r="C19" s="4">
        <f>'tokendb-0808-all-min0chars'!C19-'tokendb-0802-all-min0chars'!C19</f>
        <v>56</v>
      </c>
      <c r="D19" s="4">
        <f>'tokendb-0808-all-min0chars'!D19-'tokendb-0802-all-min0chars'!D19</f>
        <v>6110</v>
      </c>
      <c r="E19" s="4">
        <f>'tokendb-0808-all-min0chars'!E19-'tokendb-0802-all-min0chars'!E19</f>
        <v>507056</v>
      </c>
      <c r="F19" s="4">
        <f>'tokendb-0808-all-min0chars'!F19-'tokendb-0802-all-min0chars'!F19</f>
        <v>5141184</v>
      </c>
      <c r="G19" s="4">
        <f>'tokendb-0808-all-min0chars'!G19-'tokendb-0802-all-min0chars'!G19</f>
        <v>24950726</v>
      </c>
    </row>
    <row r="20" spans="2:7">
      <c r="B20" s="1" t="s">
        <v>27</v>
      </c>
      <c r="C20" s="4">
        <f>'tokendb-0808-all-min0chars'!C20-'tokendb-0802-all-min0chars'!C20</f>
        <v>3</v>
      </c>
      <c r="D20" s="4">
        <f>'tokendb-0808-all-min0chars'!D20-'tokendb-0802-all-min0chars'!D20</f>
        <v>316</v>
      </c>
      <c r="E20" s="4">
        <f>'tokendb-0808-all-min0chars'!E20-'tokendb-0802-all-min0chars'!E20</f>
        <v>26402</v>
      </c>
      <c r="F20" s="4">
        <f>'tokendb-0808-all-min0chars'!F20-'tokendb-0802-all-min0chars'!F20</f>
        <v>301443</v>
      </c>
      <c r="G20" s="4">
        <f>'tokendb-0808-all-min0chars'!G20-'tokendb-0802-all-min0chars'!G20</f>
        <v>1255480</v>
      </c>
    </row>
    <row r="21" spans="2:7">
      <c r="B21" s="1" t="s">
        <v>28</v>
      </c>
      <c r="C21" s="4">
        <f>'tokendb-0808-all-min0chars'!C21-'tokendb-0802-all-min0chars'!C21</f>
        <v>0</v>
      </c>
      <c r="D21" s="4">
        <f>'tokendb-0808-all-min0chars'!D21-'tokendb-0802-all-min0chars'!D21</f>
        <v>0</v>
      </c>
      <c r="E21" s="4">
        <f>'tokendb-0808-all-min0chars'!E21-'tokendb-0802-all-min0chars'!E21</f>
        <v>0</v>
      </c>
      <c r="F21" s="4">
        <f>'tokendb-0808-all-min0chars'!F21-'tokendb-0802-all-min0chars'!F21</f>
        <v>0</v>
      </c>
      <c r="G21" s="4">
        <f>'tokendb-0808-all-min0chars'!G21-'tokendb-0802-all-min0chars'!G21</f>
        <v>0</v>
      </c>
    </row>
    <row r="22" spans="2:7">
      <c r="B22" s="1" t="s">
        <v>29</v>
      </c>
      <c r="C22" s="4">
        <f>'tokendb-0808-all-min0chars'!C22-'tokendb-0802-all-min0chars'!C22</f>
        <v>0</v>
      </c>
      <c r="D22" s="4">
        <f>'tokendb-0808-all-min0chars'!D22-'tokendb-0802-all-min0chars'!D22</f>
        <v>0</v>
      </c>
      <c r="E22" s="4">
        <f>'tokendb-0808-all-min0chars'!E22-'tokendb-0802-all-min0chars'!E22</f>
        <v>0</v>
      </c>
      <c r="F22" s="4">
        <f>'tokendb-0808-all-min0chars'!F22-'tokendb-0802-all-min0chars'!F22</f>
        <v>0</v>
      </c>
      <c r="G22" s="4">
        <f>'tokendb-0808-all-min0chars'!G22-'tokendb-0802-all-min0chars'!G22</f>
        <v>0</v>
      </c>
    </row>
    <row r="23" spans="2:7">
      <c r="B23" s="1" t="s">
        <v>30</v>
      </c>
      <c r="C23" s="4">
        <f>'tokendb-0808-all-min0chars'!C23-'tokendb-0802-all-min0chars'!C23</f>
        <v>0</v>
      </c>
      <c r="D23" s="4">
        <f>'tokendb-0808-all-min0chars'!D23-'tokendb-0802-all-min0chars'!D23</f>
        <v>0</v>
      </c>
      <c r="E23" s="4">
        <f>'tokendb-0808-all-min0chars'!E23-'tokendb-0802-all-min0chars'!E23</f>
        <v>0</v>
      </c>
      <c r="F23" s="4">
        <f>'tokendb-0808-all-min0chars'!F23-'tokendb-0802-all-min0chars'!F23</f>
        <v>0</v>
      </c>
      <c r="G23" s="4">
        <f>'tokendb-0808-all-min0chars'!G23-'tokendb-0802-all-min0chars'!G23</f>
        <v>0</v>
      </c>
    </row>
    <row r="24" spans="2:7">
      <c r="B24" s="1" t="s">
        <v>31</v>
      </c>
      <c r="C24" s="4">
        <f>'tokendb-0808-all-min0chars'!C24-'tokendb-0802-all-min0chars'!C24</f>
        <v>0</v>
      </c>
      <c r="D24" s="4">
        <f>'tokendb-0808-all-min0chars'!D24-'tokendb-0802-all-min0chars'!D24</f>
        <v>0</v>
      </c>
      <c r="E24" s="4">
        <f>'tokendb-0808-all-min0chars'!E24-'tokendb-0802-all-min0chars'!E24</f>
        <v>0</v>
      </c>
      <c r="F24" s="4">
        <f>'tokendb-0808-all-min0chars'!F24-'tokendb-0802-all-min0chars'!F24</f>
        <v>0</v>
      </c>
      <c r="G24" s="4">
        <f>'tokendb-0808-all-min0chars'!G24-'tokendb-0802-all-min0chars'!G24</f>
        <v>0</v>
      </c>
    </row>
    <row r="25" spans="2:7">
      <c r="B25" s="1" t="s">
        <v>32</v>
      </c>
      <c r="C25" s="4">
        <f>'tokendb-0808-all-min0chars'!C25-'tokendb-0802-all-min0chars'!C25</f>
        <v>0</v>
      </c>
      <c r="D25" s="4">
        <f>'tokendb-0808-all-min0chars'!D25-'tokendb-0802-all-min0chars'!D25</f>
        <v>0</v>
      </c>
      <c r="E25" s="4">
        <f>'tokendb-0808-all-min0chars'!E25-'tokendb-0802-all-min0chars'!E25</f>
        <v>0</v>
      </c>
      <c r="F25" s="4">
        <f>'tokendb-0808-all-min0chars'!F25-'tokendb-0802-all-min0chars'!F25</f>
        <v>0</v>
      </c>
      <c r="G25" s="4">
        <f>'tokendb-0808-all-min0chars'!G25-'tokendb-0802-all-min0chars'!G25</f>
        <v>0</v>
      </c>
    </row>
    <row r="26" spans="2:7">
      <c r="B26" s="1" t="s">
        <v>33</v>
      </c>
      <c r="C26" s="4">
        <f>'tokendb-0808-all-min0chars'!C26-'tokendb-0802-all-min0chars'!C26</f>
        <v>0</v>
      </c>
      <c r="D26" s="4">
        <f>'tokendb-0808-all-min0chars'!D26-'tokendb-0802-all-min0chars'!D26</f>
        <v>0</v>
      </c>
      <c r="E26" s="4">
        <f>'tokendb-0808-all-min0chars'!E26-'tokendb-0802-all-min0chars'!E26</f>
        <v>0</v>
      </c>
      <c r="F26" s="4">
        <f>'tokendb-0808-all-min0chars'!F26-'tokendb-0802-all-min0chars'!F26</f>
        <v>0</v>
      </c>
      <c r="G26" s="4">
        <f>'tokendb-0808-all-min0chars'!G26-'tokendb-0802-all-min0chars'!G26</f>
        <v>0</v>
      </c>
    </row>
    <row r="27" spans="2:7">
      <c r="B27" s="1" t="s">
        <v>34</v>
      </c>
      <c r="C27" s="4">
        <f>'tokendb-0808-all-min0chars'!C27-'tokendb-0802-all-min0chars'!C27</f>
        <v>0</v>
      </c>
      <c r="D27" s="4">
        <f>'tokendb-0808-all-min0chars'!D27-'tokendb-0802-all-min0chars'!D27</f>
        <v>-3</v>
      </c>
      <c r="E27" s="4">
        <f>'tokendb-0808-all-min0chars'!E27-'tokendb-0802-all-min0chars'!E27</f>
        <v>-1</v>
      </c>
      <c r="F27" s="4">
        <f>'tokendb-0808-all-min0chars'!F27-'tokendb-0802-all-min0chars'!F27</f>
        <v>-6</v>
      </c>
      <c r="G27" s="4">
        <f>'tokendb-0808-all-min0chars'!G27-'tokendb-0802-all-min0chars'!G27</f>
        <v>-23</v>
      </c>
    </row>
    <row r="28" spans="2:7">
      <c r="B28" s="1" t="s">
        <v>35</v>
      </c>
      <c r="C28" s="4">
        <f>'tokendb-0808-all-min0chars'!C28-'tokendb-0802-all-min0chars'!C28</f>
        <v>0</v>
      </c>
      <c r="D28" s="4">
        <f>'tokendb-0808-all-min0chars'!D28-'tokendb-0802-all-min0chars'!D28</f>
        <v>0</v>
      </c>
      <c r="E28" s="4">
        <f>'tokendb-0808-all-min0chars'!E28-'tokendb-0802-all-min0chars'!E28</f>
        <v>0</v>
      </c>
      <c r="F28" s="4">
        <f>'tokendb-0808-all-min0chars'!F28-'tokendb-0802-all-min0chars'!F28</f>
        <v>0</v>
      </c>
      <c r="G28" s="4">
        <f>'tokendb-0808-all-min0chars'!G28-'tokendb-0802-all-min0chars'!G28</f>
        <v>0</v>
      </c>
    </row>
    <row r="29" spans="2:7">
      <c r="B29" s="1" t="s">
        <v>36</v>
      </c>
      <c r="C29" s="4">
        <f>'tokendb-0808-all-min0chars'!C29-'tokendb-0802-all-min0chars'!C29</f>
        <v>0</v>
      </c>
      <c r="D29" s="4">
        <f>'tokendb-0808-all-min0chars'!D29-'tokendb-0802-all-min0chars'!D29</f>
        <v>1</v>
      </c>
      <c r="E29" s="4">
        <f>'tokendb-0808-all-min0chars'!E29-'tokendb-0802-all-min0chars'!E29</f>
        <v>-7</v>
      </c>
      <c r="F29" s="4">
        <f>'tokendb-0808-all-min0chars'!F29-'tokendb-0802-all-min0chars'!F29</f>
        <v>55</v>
      </c>
      <c r="G29" s="4">
        <f>'tokendb-0808-all-min0chars'!G29-'tokendb-0802-all-min0chars'!G29</f>
        <v>-6</v>
      </c>
    </row>
    <row r="30" spans="2:7">
      <c r="B30" s="1" t="s">
        <v>37</v>
      </c>
      <c r="C30" s="4">
        <v>2</v>
      </c>
      <c r="D30" s="4">
        <v>55</v>
      </c>
      <c r="E30" s="4">
        <v>5033</v>
      </c>
      <c r="F30" s="4">
        <v>59107</v>
      </c>
      <c r="G30" s="4">
        <v>259613</v>
      </c>
    </row>
    <row r="31" spans="2:7">
      <c r="B31" s="1" t="s">
        <v>38</v>
      </c>
      <c r="C31" s="4">
        <v>4</v>
      </c>
      <c r="D31" s="4">
        <v>434</v>
      </c>
      <c r="E31" s="4">
        <v>17746</v>
      </c>
      <c r="F31" s="4">
        <v>189840</v>
      </c>
      <c r="G31" s="4">
        <v>854624</v>
      </c>
    </row>
    <row r="32" spans="2:7">
      <c r="B32" s="1" t="s">
        <v>39</v>
      </c>
      <c r="C32" s="4">
        <v>1</v>
      </c>
      <c r="D32" s="4">
        <v>14</v>
      </c>
      <c r="E32" s="4">
        <v>648</v>
      </c>
      <c r="F32" s="4">
        <v>8210</v>
      </c>
      <c r="G32" s="4">
        <v>40930</v>
      </c>
    </row>
    <row r="34" spans="2:7">
      <c r="B34" s="2" t="s">
        <v>40</v>
      </c>
      <c r="C34" s="4">
        <f>SUM(C4:C32)</f>
        <v>834</v>
      </c>
      <c r="D34" s="4">
        <f t="shared" ref="D34:G34" si="0">SUM(D4:D32)</f>
        <v>91071</v>
      </c>
      <c r="E34" s="4">
        <f t="shared" si="0"/>
        <v>7477841</v>
      </c>
      <c r="F34" s="4">
        <f t="shared" si="0"/>
        <v>74433125</v>
      </c>
      <c r="G34" s="4">
        <f t="shared" si="0"/>
        <v>363211850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G34"/>
  <sheetViews>
    <sheetView workbookViewId="0">
      <selection activeCell="B3" sqref="B3"/>
    </sheetView>
  </sheetViews>
  <sheetFormatPr baseColWidth="10" defaultRowHeight="13"/>
  <cols>
    <col min="3" max="3" width="8" customWidth="1"/>
    <col min="4" max="4" width="10.42578125" customWidth="1"/>
    <col min="5" max="5" width="12.140625" customWidth="1"/>
    <col min="6" max="6" width="13.85546875" customWidth="1"/>
    <col min="7" max="7" width="15" customWidth="1"/>
  </cols>
  <sheetData>
    <row r="1" spans="1:7" ht="16">
      <c r="A1" s="2"/>
      <c r="B1" s="2"/>
      <c r="C1" s="2"/>
      <c r="D1" s="2"/>
      <c r="E1" s="2"/>
      <c r="F1" s="2"/>
      <c r="G1" s="2"/>
    </row>
    <row r="2" spans="1:7" ht="16">
      <c r="A2" s="2"/>
      <c r="B2" s="5" t="s">
        <v>0</v>
      </c>
      <c r="C2" s="6" t="s">
        <v>45</v>
      </c>
      <c r="D2" s="6" t="s">
        <v>45</v>
      </c>
      <c r="E2" s="6" t="s">
        <v>45</v>
      </c>
      <c r="F2" s="6" t="s">
        <v>45</v>
      </c>
      <c r="G2" s="6" t="s">
        <v>45</v>
      </c>
    </row>
    <row r="3" spans="1:7" ht="16">
      <c r="A3" s="2"/>
      <c r="B3" s="6"/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</row>
    <row r="4" spans="1:7" ht="16">
      <c r="A4" s="2"/>
      <c r="B4" s="1" t="s">
        <v>11</v>
      </c>
      <c r="C4" s="4">
        <f>'tokendb-0808-all-min300chars'!C4-'tokendb-0802-all-min300chars'!C4</f>
        <v>0</v>
      </c>
      <c r="D4" s="4">
        <f>'tokendb-0808-all-min300chars'!D4-'tokendb-0802-all-min300chars'!D4</f>
        <v>0</v>
      </c>
      <c r="E4" s="4">
        <f>'tokendb-0808-all-min300chars'!E4-'tokendb-0802-all-min300chars'!E4</f>
        <v>0</v>
      </c>
      <c r="F4" s="4">
        <f>'tokendb-0808-all-min300chars'!F4-'tokendb-0802-all-min300chars'!F4</f>
        <v>0</v>
      </c>
      <c r="G4" s="4">
        <f>'tokendb-0808-all-min300chars'!G4-'tokendb-0802-all-min300chars'!G4</f>
        <v>0</v>
      </c>
    </row>
    <row r="5" spans="1:7" ht="16">
      <c r="A5" s="2"/>
      <c r="B5" s="1" t="s">
        <v>12</v>
      </c>
      <c r="C5" s="4">
        <f>'tokendb-0808-all-min300chars'!C5-'tokendb-0802-all-min300chars'!C5</f>
        <v>5</v>
      </c>
      <c r="D5" s="4">
        <f>'tokendb-0808-all-min300chars'!D5-'tokendb-0802-all-min300chars'!D5</f>
        <v>640</v>
      </c>
      <c r="E5" s="4">
        <f>'tokendb-0808-all-min300chars'!E5-'tokendb-0802-all-min300chars'!E5</f>
        <v>37676</v>
      </c>
      <c r="F5" s="4">
        <f>'tokendb-0808-all-min300chars'!F5-'tokendb-0802-all-min300chars'!F5</f>
        <v>397316</v>
      </c>
      <c r="G5" s="4">
        <f>'tokendb-0808-all-min300chars'!G5-'tokendb-0802-all-min300chars'!G5</f>
        <v>1942673</v>
      </c>
    </row>
    <row r="6" spans="1:7" ht="16">
      <c r="A6" s="2"/>
      <c r="B6" s="1" t="s">
        <v>13</v>
      </c>
      <c r="C6" s="4">
        <f>'tokendb-0808-all-min300chars'!C6-'tokendb-0802-all-min300chars'!C6</f>
        <v>1</v>
      </c>
      <c r="D6" s="4">
        <f>'tokendb-0808-all-min300chars'!D6-'tokendb-0802-all-min300chars'!D6</f>
        <v>62</v>
      </c>
      <c r="E6" s="4">
        <f>'tokendb-0808-all-min300chars'!E6-'tokendb-0802-all-min300chars'!E6</f>
        <v>8424</v>
      </c>
      <c r="F6" s="4">
        <f>'tokendb-0808-all-min300chars'!F6-'tokendb-0802-all-min300chars'!F6</f>
        <v>61903</v>
      </c>
      <c r="G6" s="4">
        <f>'tokendb-0808-all-min300chars'!G6-'tokendb-0802-all-min300chars'!G6</f>
        <v>299398</v>
      </c>
    </row>
    <row r="7" spans="1:7" ht="16">
      <c r="A7" s="2"/>
      <c r="B7" s="1" t="s">
        <v>14</v>
      </c>
      <c r="C7" s="4">
        <f>'tokendb-0808-all-min300chars'!C7-'tokendb-0802-all-min300chars'!C7</f>
        <v>7</v>
      </c>
      <c r="D7" s="4">
        <f>'tokendb-0808-all-min300chars'!D7-'tokendb-0802-all-min300chars'!D7</f>
        <v>515</v>
      </c>
      <c r="E7" s="4">
        <f>'tokendb-0808-all-min300chars'!E7-'tokendb-0802-all-min300chars'!E7</f>
        <v>67847</v>
      </c>
      <c r="F7" s="4">
        <f>'tokendb-0808-all-min300chars'!F7-'tokendb-0802-all-min300chars'!F7</f>
        <v>666373</v>
      </c>
      <c r="G7" s="4">
        <f>'tokendb-0808-all-min300chars'!G7-'tokendb-0802-all-min300chars'!G7</f>
        <v>3279784</v>
      </c>
    </row>
    <row r="8" spans="1:7" ht="16">
      <c r="A8" s="2"/>
      <c r="B8" s="1" t="s">
        <v>15</v>
      </c>
      <c r="C8" s="4">
        <f>'tokendb-0808-all-min300chars'!C8-'tokendb-0802-all-min300chars'!C8</f>
        <v>0</v>
      </c>
      <c r="D8" s="4">
        <f>'tokendb-0808-all-min300chars'!D8-'tokendb-0802-all-min300chars'!D8</f>
        <v>-19</v>
      </c>
      <c r="E8" s="4">
        <f>'tokendb-0808-all-min300chars'!E8-'tokendb-0802-all-min300chars'!E8</f>
        <v>-11692</v>
      </c>
      <c r="F8" s="4">
        <f>'tokendb-0808-all-min300chars'!F8-'tokendb-0802-all-min300chars'!F8</f>
        <v>-394454</v>
      </c>
      <c r="G8" s="4">
        <f>'tokendb-0808-all-min300chars'!G8-'tokendb-0802-all-min300chars'!G8</f>
        <v>-1230104</v>
      </c>
    </row>
    <row r="9" spans="1:7" ht="16">
      <c r="A9" s="2"/>
      <c r="B9" s="1" t="s">
        <v>16</v>
      </c>
      <c r="C9" s="4">
        <f>'tokendb-0808-all-min300chars'!C9-'tokendb-0802-all-min300chars'!C9</f>
        <v>1</v>
      </c>
      <c r="D9" s="4">
        <f>'tokendb-0808-all-min300chars'!D9-'tokendb-0802-all-min300chars'!D9</f>
        <v>-141</v>
      </c>
      <c r="E9" s="4">
        <f>'tokendb-0808-all-min300chars'!E9-'tokendb-0802-all-min300chars'!E9</f>
        <v>-1491</v>
      </c>
      <c r="F9" s="4">
        <f>'tokendb-0808-all-min300chars'!F9-'tokendb-0802-all-min300chars'!F9</f>
        <v>-29841</v>
      </c>
      <c r="G9" s="4">
        <f>'tokendb-0808-all-min300chars'!G9-'tokendb-0802-all-min300chars'!G9</f>
        <v>-97700</v>
      </c>
    </row>
    <row r="10" spans="1:7" ht="16">
      <c r="A10" s="2"/>
      <c r="B10" s="1" t="s">
        <v>17</v>
      </c>
      <c r="C10" s="4">
        <f>'tokendb-0808-all-min300chars'!C10-'tokendb-0802-all-min300chars'!C10</f>
        <v>0</v>
      </c>
      <c r="D10" s="4">
        <f>'tokendb-0808-all-min300chars'!D10-'tokendb-0802-all-min300chars'!D10</f>
        <v>0</v>
      </c>
      <c r="E10" s="4">
        <f>'tokendb-0808-all-min300chars'!E10-'tokendb-0802-all-min300chars'!E10</f>
        <v>0</v>
      </c>
      <c r="F10" s="4">
        <f>'tokendb-0808-all-min300chars'!F10-'tokendb-0802-all-min300chars'!F10</f>
        <v>0</v>
      </c>
      <c r="G10" s="4">
        <f>'tokendb-0808-all-min300chars'!G10-'tokendb-0802-all-min300chars'!G10</f>
        <v>0</v>
      </c>
    </row>
    <row r="11" spans="1:7" ht="16">
      <c r="A11" s="2"/>
      <c r="B11" s="1" t="s">
        <v>18</v>
      </c>
      <c r="C11" s="4">
        <f>'tokendb-0808-all-min300chars'!C11-'tokendb-0802-all-min300chars'!C11</f>
        <v>0</v>
      </c>
      <c r="D11" s="4">
        <f>'tokendb-0808-all-min300chars'!D11-'tokendb-0802-all-min300chars'!D11</f>
        <v>0</v>
      </c>
      <c r="E11" s="4">
        <f>'tokendb-0808-all-min300chars'!E11-'tokendb-0802-all-min300chars'!E11</f>
        <v>0</v>
      </c>
      <c r="F11" s="4">
        <f>'tokendb-0808-all-min300chars'!F11-'tokendb-0802-all-min300chars'!F11</f>
        <v>0</v>
      </c>
      <c r="G11" s="4">
        <f>'tokendb-0808-all-min300chars'!G11-'tokendb-0802-all-min300chars'!G11</f>
        <v>0</v>
      </c>
    </row>
    <row r="12" spans="1:7" ht="16">
      <c r="A12" s="2"/>
      <c r="B12" s="1" t="s">
        <v>19</v>
      </c>
      <c r="C12" s="4">
        <f>'tokendb-0808-all-min300chars'!C12-'tokendb-0802-all-min300chars'!C12</f>
        <v>14</v>
      </c>
      <c r="D12" s="4">
        <f>'tokendb-0808-all-min300chars'!D12-'tokendb-0802-all-min300chars'!D12</f>
        <v>1170</v>
      </c>
      <c r="E12" s="4">
        <f>'tokendb-0808-all-min300chars'!E12-'tokendb-0802-all-min300chars'!E12</f>
        <v>92439</v>
      </c>
      <c r="F12" s="4">
        <f>'tokendb-0808-all-min300chars'!F12-'tokendb-0802-all-min300chars'!F12</f>
        <v>1051158</v>
      </c>
      <c r="G12" s="4">
        <f>'tokendb-0808-all-min300chars'!G12-'tokendb-0802-all-min300chars'!G12</f>
        <v>5138823</v>
      </c>
    </row>
    <row r="13" spans="1:7" ht="16">
      <c r="A13" s="2"/>
      <c r="B13" s="1" t="s">
        <v>20</v>
      </c>
      <c r="C13" s="4">
        <f>'tokendb-0808-all-min300chars'!C13-'tokendb-0802-all-min300chars'!C13</f>
        <v>0</v>
      </c>
      <c r="D13" s="4">
        <f>'tokendb-0808-all-min300chars'!D13-'tokendb-0802-all-min300chars'!D13</f>
        <v>-8</v>
      </c>
      <c r="E13" s="4">
        <f>'tokendb-0808-all-min300chars'!E13-'tokendb-0802-all-min300chars'!E13</f>
        <v>1272</v>
      </c>
      <c r="F13" s="4">
        <f>'tokendb-0808-all-min300chars'!F13-'tokendb-0802-all-min300chars'!F13</f>
        <v>-12508</v>
      </c>
      <c r="G13" s="4">
        <f>'tokendb-0808-all-min300chars'!G13-'tokendb-0802-all-min300chars'!G13</f>
        <v>-34058</v>
      </c>
    </row>
    <row r="14" spans="1:7" ht="16">
      <c r="A14" s="2"/>
      <c r="B14" s="1" t="s">
        <v>21</v>
      </c>
      <c r="C14" s="4">
        <f>'tokendb-0808-all-min300chars'!C14-'tokendb-0802-all-min300chars'!C14</f>
        <v>2</v>
      </c>
      <c r="D14" s="4">
        <f>'tokendb-0808-all-min300chars'!D14-'tokendb-0802-all-min300chars'!D14</f>
        <v>2</v>
      </c>
      <c r="E14" s="4">
        <f>'tokendb-0808-all-min300chars'!E14-'tokendb-0802-all-min300chars'!E14</f>
        <v>-83</v>
      </c>
      <c r="F14" s="4">
        <f>'tokendb-0808-all-min300chars'!F14-'tokendb-0802-all-min300chars'!F14</f>
        <v>-1320</v>
      </c>
      <c r="G14" s="4">
        <f>'tokendb-0808-all-min300chars'!G14-'tokendb-0802-all-min300chars'!G14</f>
        <v>-4381</v>
      </c>
    </row>
    <row r="15" spans="1:7" ht="16">
      <c r="A15" s="2"/>
      <c r="B15" s="1" t="s">
        <v>22</v>
      </c>
      <c r="C15" s="4">
        <f>'tokendb-0808-all-min300chars'!C15-'tokendb-0802-all-min300chars'!C15</f>
        <v>11</v>
      </c>
      <c r="D15" s="4">
        <f>'tokendb-0808-all-min300chars'!D15-'tokendb-0802-all-min300chars'!D15</f>
        <v>55</v>
      </c>
      <c r="E15" s="4">
        <f>'tokendb-0808-all-min300chars'!E15-'tokendb-0802-all-min300chars'!E15</f>
        <v>7319</v>
      </c>
      <c r="F15" s="4">
        <f>'tokendb-0808-all-min300chars'!F15-'tokendb-0802-all-min300chars'!F15</f>
        <v>83909</v>
      </c>
      <c r="G15" s="4">
        <f>'tokendb-0808-all-min300chars'!G15-'tokendb-0802-all-min300chars'!G15</f>
        <v>376321</v>
      </c>
    </row>
    <row r="16" spans="1:7" ht="16">
      <c r="A16" s="2"/>
      <c r="B16" s="1" t="s">
        <v>23</v>
      </c>
      <c r="C16" s="4">
        <f>'tokendb-0808-all-min300chars'!C16-'tokendb-0802-all-min300chars'!C16</f>
        <v>0</v>
      </c>
      <c r="D16" s="4">
        <f>'tokendb-0808-all-min300chars'!D16-'tokendb-0802-all-min300chars'!D16</f>
        <v>0</v>
      </c>
      <c r="E16" s="4">
        <f>'tokendb-0808-all-min300chars'!E16-'tokendb-0802-all-min300chars'!E16</f>
        <v>0</v>
      </c>
      <c r="F16" s="4">
        <f>'tokendb-0808-all-min300chars'!F16-'tokendb-0802-all-min300chars'!F16</f>
        <v>0</v>
      </c>
      <c r="G16" s="4">
        <f>'tokendb-0808-all-min300chars'!G16-'tokendb-0802-all-min300chars'!G16</f>
        <v>0</v>
      </c>
    </row>
    <row r="17" spans="1:7" ht="16">
      <c r="A17" s="2"/>
      <c r="B17" s="1" t="s">
        <v>24</v>
      </c>
      <c r="C17" s="4">
        <f>'tokendb-0808-all-min300chars'!C17-'tokendb-0802-all-min300chars'!C17</f>
        <v>413</v>
      </c>
      <c r="D17" s="4">
        <f>'tokendb-0808-all-min300chars'!D17-'tokendb-0802-all-min300chars'!D17</f>
        <v>29248</v>
      </c>
      <c r="E17" s="4">
        <f>'tokendb-0808-all-min300chars'!E17-'tokendb-0802-all-min300chars'!E17</f>
        <v>3730034</v>
      </c>
      <c r="F17" s="4">
        <f>'tokendb-0808-all-min300chars'!F17-'tokendb-0802-all-min300chars'!F17</f>
        <v>37313806</v>
      </c>
      <c r="G17" s="4">
        <f>'tokendb-0808-all-min300chars'!G17-'tokendb-0802-all-min300chars'!G17</f>
        <v>182369642</v>
      </c>
    </row>
    <row r="18" spans="1:7" ht="16">
      <c r="A18" s="2"/>
      <c r="B18" s="1" t="s">
        <v>25</v>
      </c>
      <c r="C18" s="4">
        <f>'tokendb-0808-all-min300chars'!C18-'tokendb-0802-all-min300chars'!C18</f>
        <v>314</v>
      </c>
      <c r="D18" s="4">
        <f>'tokendb-0808-all-min300chars'!D18-'tokendb-0802-all-min300chars'!D18</f>
        <v>22595</v>
      </c>
      <c r="E18" s="4">
        <f>'tokendb-0808-all-min300chars'!E18-'tokendb-0802-all-min300chars'!E18</f>
        <v>2921654</v>
      </c>
      <c r="F18" s="4">
        <f>'tokendb-0808-all-min300chars'!F18-'tokendb-0802-all-min300chars'!F18</f>
        <v>29013050</v>
      </c>
      <c r="G18" s="4">
        <f>'tokendb-0808-all-min300chars'!G18-'tokendb-0802-all-min300chars'!G18</f>
        <v>141700020</v>
      </c>
    </row>
    <row r="19" spans="1:7" ht="16">
      <c r="A19" s="2"/>
      <c r="B19" s="1" t="s">
        <v>26</v>
      </c>
      <c r="C19" s="4">
        <f>'tokendb-0808-all-min300chars'!C19-'tokendb-0802-all-min300chars'!C19</f>
        <v>56</v>
      </c>
      <c r="D19" s="4">
        <f>'tokendb-0808-all-min300chars'!D19-'tokendb-0802-all-min300chars'!D19</f>
        <v>4041</v>
      </c>
      <c r="E19" s="4">
        <f>'tokendb-0808-all-min300chars'!E19-'tokendb-0802-all-min300chars'!E19</f>
        <v>502224</v>
      </c>
      <c r="F19" s="4">
        <f>'tokendb-0808-all-min300chars'!F19-'tokendb-0802-all-min300chars'!F19</f>
        <v>5099239</v>
      </c>
      <c r="G19" s="4">
        <f>'tokendb-0808-all-min300chars'!G19-'tokendb-0802-all-min300chars'!G19</f>
        <v>24801834</v>
      </c>
    </row>
    <row r="20" spans="1:7" ht="16">
      <c r="A20" s="2"/>
      <c r="B20" s="1" t="s">
        <v>27</v>
      </c>
      <c r="C20" s="4">
        <f>'tokendb-0808-all-min300chars'!C20-'tokendb-0802-all-min300chars'!C20</f>
        <v>3</v>
      </c>
      <c r="D20" s="4">
        <f>'tokendb-0808-all-min300chars'!D20-'tokendb-0802-all-min300chars'!D20</f>
        <v>196</v>
      </c>
      <c r="E20" s="4">
        <f>'tokendb-0808-all-min300chars'!E20-'tokendb-0802-all-min300chars'!E20</f>
        <v>26268</v>
      </c>
      <c r="F20" s="4">
        <f>'tokendb-0808-all-min300chars'!F20-'tokendb-0802-all-min300chars'!F20</f>
        <v>300470</v>
      </c>
      <c r="G20" s="4">
        <f>'tokendb-0808-all-min300chars'!G20-'tokendb-0802-all-min300chars'!G20</f>
        <v>1251388</v>
      </c>
    </row>
    <row r="21" spans="1:7" ht="16">
      <c r="A21" s="2"/>
      <c r="B21" s="1" t="s">
        <v>28</v>
      </c>
      <c r="C21" s="4">
        <f>'tokendb-0808-all-min300chars'!C21-'tokendb-0802-all-min300chars'!C21</f>
        <v>0</v>
      </c>
      <c r="D21" s="4">
        <f>'tokendb-0808-all-min300chars'!D21-'tokendb-0802-all-min300chars'!D21</f>
        <v>0</v>
      </c>
      <c r="E21" s="4">
        <f>'tokendb-0808-all-min300chars'!E21-'tokendb-0802-all-min300chars'!E21</f>
        <v>0</v>
      </c>
      <c r="F21" s="4">
        <f>'tokendb-0808-all-min300chars'!F21-'tokendb-0802-all-min300chars'!F21</f>
        <v>0</v>
      </c>
      <c r="G21" s="4">
        <f>'tokendb-0808-all-min300chars'!G21-'tokendb-0802-all-min300chars'!G21</f>
        <v>0</v>
      </c>
    </row>
    <row r="22" spans="1:7" ht="16">
      <c r="A22" s="2"/>
      <c r="B22" s="1" t="s">
        <v>29</v>
      </c>
      <c r="C22" s="4">
        <f>'tokendb-0808-all-min300chars'!C22-'tokendb-0802-all-min300chars'!C22</f>
        <v>0</v>
      </c>
      <c r="D22" s="4">
        <f>'tokendb-0808-all-min300chars'!D22-'tokendb-0802-all-min300chars'!D22</f>
        <v>0</v>
      </c>
      <c r="E22" s="4">
        <f>'tokendb-0808-all-min300chars'!E22-'tokendb-0802-all-min300chars'!E22</f>
        <v>0</v>
      </c>
      <c r="F22" s="4">
        <f>'tokendb-0808-all-min300chars'!F22-'tokendb-0802-all-min300chars'!F22</f>
        <v>0</v>
      </c>
      <c r="G22" s="4">
        <f>'tokendb-0808-all-min300chars'!G22-'tokendb-0802-all-min300chars'!G22</f>
        <v>0</v>
      </c>
    </row>
    <row r="23" spans="1:7" ht="16">
      <c r="A23" s="2"/>
      <c r="B23" s="1" t="s">
        <v>30</v>
      </c>
      <c r="C23" s="4">
        <f>'tokendb-0808-all-min300chars'!C23-'tokendb-0802-all-min300chars'!C23</f>
        <v>0</v>
      </c>
      <c r="D23" s="4">
        <f>'tokendb-0808-all-min300chars'!D23-'tokendb-0802-all-min300chars'!D23</f>
        <v>0</v>
      </c>
      <c r="E23" s="4">
        <f>'tokendb-0808-all-min300chars'!E23-'tokendb-0802-all-min300chars'!E23</f>
        <v>0</v>
      </c>
      <c r="F23" s="4">
        <f>'tokendb-0808-all-min300chars'!F23-'tokendb-0802-all-min300chars'!F23</f>
        <v>0</v>
      </c>
      <c r="G23" s="4">
        <f>'tokendb-0808-all-min300chars'!G23-'tokendb-0802-all-min300chars'!G23</f>
        <v>0</v>
      </c>
    </row>
    <row r="24" spans="1:7" ht="16">
      <c r="A24" s="2"/>
      <c r="B24" s="1" t="s">
        <v>31</v>
      </c>
      <c r="C24" s="4">
        <f>'tokendb-0808-all-min300chars'!C24-'tokendb-0802-all-min300chars'!C24</f>
        <v>0</v>
      </c>
      <c r="D24" s="4">
        <f>'tokendb-0808-all-min300chars'!D24-'tokendb-0802-all-min300chars'!D24</f>
        <v>0</v>
      </c>
      <c r="E24" s="4">
        <f>'tokendb-0808-all-min300chars'!E24-'tokendb-0802-all-min300chars'!E24</f>
        <v>0</v>
      </c>
      <c r="F24" s="4">
        <f>'tokendb-0808-all-min300chars'!F24-'tokendb-0802-all-min300chars'!F24</f>
        <v>0</v>
      </c>
      <c r="G24" s="4">
        <f>'tokendb-0808-all-min300chars'!G24-'tokendb-0802-all-min300chars'!G24</f>
        <v>0</v>
      </c>
    </row>
    <row r="25" spans="1:7" ht="16">
      <c r="A25" s="2"/>
      <c r="B25" s="1" t="s">
        <v>32</v>
      </c>
      <c r="C25" s="4">
        <f>'tokendb-0808-all-min300chars'!C25-'tokendb-0802-all-min300chars'!C25</f>
        <v>0</v>
      </c>
      <c r="D25" s="4">
        <f>'tokendb-0808-all-min300chars'!D25-'tokendb-0802-all-min300chars'!D25</f>
        <v>0</v>
      </c>
      <c r="E25" s="4">
        <f>'tokendb-0808-all-min300chars'!E25-'tokendb-0802-all-min300chars'!E25</f>
        <v>0</v>
      </c>
      <c r="F25" s="4">
        <f>'tokendb-0808-all-min300chars'!F25-'tokendb-0802-all-min300chars'!F25</f>
        <v>0</v>
      </c>
      <c r="G25" s="4">
        <f>'tokendb-0808-all-min300chars'!G25-'tokendb-0802-all-min300chars'!G25</f>
        <v>0</v>
      </c>
    </row>
    <row r="26" spans="1:7" ht="16">
      <c r="A26" s="2"/>
      <c r="B26" s="1" t="s">
        <v>33</v>
      </c>
      <c r="C26" s="4">
        <f>'tokendb-0808-all-min300chars'!C26-'tokendb-0802-all-min300chars'!C26</f>
        <v>0</v>
      </c>
      <c r="D26" s="4">
        <f>'tokendb-0808-all-min300chars'!D26-'tokendb-0802-all-min300chars'!D26</f>
        <v>0</v>
      </c>
      <c r="E26" s="4">
        <f>'tokendb-0808-all-min300chars'!E26-'tokendb-0802-all-min300chars'!E26</f>
        <v>0</v>
      </c>
      <c r="F26" s="4">
        <f>'tokendb-0808-all-min300chars'!F26-'tokendb-0802-all-min300chars'!F26</f>
        <v>0</v>
      </c>
      <c r="G26" s="4">
        <f>'tokendb-0808-all-min300chars'!G26-'tokendb-0802-all-min300chars'!G26</f>
        <v>0</v>
      </c>
    </row>
    <row r="27" spans="1:7" ht="16">
      <c r="A27" s="2"/>
      <c r="B27" s="1" t="s">
        <v>34</v>
      </c>
      <c r="C27" s="4">
        <f>'tokendb-0808-all-min300chars'!C27-'tokendb-0802-all-min300chars'!C27</f>
        <v>0</v>
      </c>
      <c r="D27" s="4">
        <f>'tokendb-0808-all-min300chars'!D27-'tokendb-0802-all-min300chars'!D27</f>
        <v>0</v>
      </c>
      <c r="E27" s="4">
        <f>'tokendb-0808-all-min300chars'!E27-'tokendb-0802-all-min300chars'!E27</f>
        <v>-1</v>
      </c>
      <c r="F27" s="4">
        <f>'tokendb-0808-all-min300chars'!F27-'tokendb-0802-all-min300chars'!F27</f>
        <v>-6</v>
      </c>
      <c r="G27" s="4">
        <f>'tokendb-0808-all-min300chars'!G27-'tokendb-0802-all-min300chars'!G27</f>
        <v>-23</v>
      </c>
    </row>
    <row r="28" spans="1:7" ht="16">
      <c r="A28" s="2"/>
      <c r="B28" s="1" t="s">
        <v>35</v>
      </c>
      <c r="C28" s="4">
        <f>'tokendb-0808-all-min300chars'!C28-'tokendb-0802-all-min300chars'!C28</f>
        <v>0</v>
      </c>
      <c r="D28" s="4">
        <f>'tokendb-0808-all-min300chars'!D28-'tokendb-0802-all-min300chars'!D28</f>
        <v>0</v>
      </c>
      <c r="E28" s="4">
        <f>'tokendb-0808-all-min300chars'!E28-'tokendb-0802-all-min300chars'!E28</f>
        <v>0</v>
      </c>
      <c r="F28" s="4">
        <f>'tokendb-0808-all-min300chars'!F28-'tokendb-0802-all-min300chars'!F28</f>
        <v>0</v>
      </c>
      <c r="G28" s="4">
        <f>'tokendb-0808-all-min300chars'!G28-'tokendb-0802-all-min300chars'!G28</f>
        <v>0</v>
      </c>
    </row>
    <row r="29" spans="1:7" ht="16">
      <c r="A29" s="2"/>
      <c r="B29" s="1" t="s">
        <v>36</v>
      </c>
      <c r="C29" s="4">
        <f>'tokendb-0808-all-min300chars'!C29-'tokendb-0802-all-min300chars'!C29</f>
        <v>0</v>
      </c>
      <c r="D29" s="4">
        <f>'tokendb-0808-all-min300chars'!D29-'tokendb-0802-all-min300chars'!D29</f>
        <v>1</v>
      </c>
      <c r="E29" s="4">
        <f>'tokendb-0808-all-min300chars'!E29-'tokendb-0802-all-min300chars'!E29</f>
        <v>-7</v>
      </c>
      <c r="F29" s="4">
        <f>'tokendb-0808-all-min300chars'!F29-'tokendb-0802-all-min300chars'!F29</f>
        <v>54</v>
      </c>
      <c r="G29" s="4">
        <f>'tokendb-0808-all-min300chars'!G29-'tokendb-0802-all-min300chars'!G29</f>
        <v>-7</v>
      </c>
    </row>
    <row r="30" spans="1:7" ht="16">
      <c r="A30" s="2"/>
      <c r="B30" s="1" t="s">
        <v>37</v>
      </c>
      <c r="C30" s="4">
        <v>2</v>
      </c>
      <c r="D30" s="4">
        <v>26</v>
      </c>
      <c r="E30" s="4">
        <v>4978</v>
      </c>
      <c r="F30" s="4">
        <v>58482</v>
      </c>
      <c r="G30" s="4">
        <v>257631</v>
      </c>
    </row>
    <row r="31" spans="1:7" ht="16">
      <c r="A31" s="2"/>
      <c r="B31" s="1" t="s">
        <v>38</v>
      </c>
      <c r="C31" s="4">
        <v>4</v>
      </c>
      <c r="D31" s="4">
        <v>281</v>
      </c>
      <c r="E31" s="4">
        <v>17223</v>
      </c>
      <c r="F31" s="4">
        <v>184726</v>
      </c>
      <c r="G31" s="4">
        <v>838470</v>
      </c>
    </row>
    <row r="32" spans="1:7" ht="16">
      <c r="A32" s="2"/>
      <c r="B32" s="1" t="s">
        <v>39</v>
      </c>
      <c r="C32" s="4">
        <v>1</v>
      </c>
      <c r="D32" s="4">
        <v>7</v>
      </c>
      <c r="E32" s="4">
        <v>637</v>
      </c>
      <c r="F32" s="4">
        <v>8087</v>
      </c>
      <c r="G32" s="4">
        <v>40498</v>
      </c>
    </row>
    <row r="33" spans="1:7" ht="16">
      <c r="A33" s="2"/>
      <c r="B33" s="2"/>
      <c r="C33" s="2"/>
      <c r="D33" s="2"/>
      <c r="E33" s="2"/>
      <c r="F33" s="2"/>
      <c r="G33" s="2"/>
    </row>
    <row r="34" spans="1:7" ht="16">
      <c r="A34" s="2"/>
      <c r="B34" s="2" t="s">
        <v>40</v>
      </c>
      <c r="C34" s="4">
        <f>SUM(C4:C32)</f>
        <v>834</v>
      </c>
      <c r="D34" s="4">
        <f t="shared" ref="D34:G34" si="0">SUM(D4:D32)</f>
        <v>58671</v>
      </c>
      <c r="E34" s="4">
        <f t="shared" si="0"/>
        <v>7404721</v>
      </c>
      <c r="F34" s="4">
        <f t="shared" si="0"/>
        <v>73800444</v>
      </c>
      <c r="G34" s="4">
        <f t="shared" si="0"/>
        <v>360930209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tokendb-0808-all-min0chars</vt:lpstr>
      <vt:lpstr>tokendb-0808-all-min300chars</vt:lpstr>
      <vt:lpstr>tokendb-0802-all-min0chars</vt:lpstr>
      <vt:lpstr>tokendb-0802-all-min300chars</vt:lpstr>
      <vt:lpstr>diff-0808-0802-min0chars</vt:lpstr>
      <vt:lpstr>diff-0808-0802-min300chars</vt:lpstr>
    </vt:vector>
  </TitlesOfParts>
  <Company>CCH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Brey</dc:creator>
  <cp:lastModifiedBy>Gerhard Brey</cp:lastModifiedBy>
  <dcterms:created xsi:type="dcterms:W3CDTF">2008-10-30T13:16:31Z</dcterms:created>
  <dcterms:modified xsi:type="dcterms:W3CDTF">2008-11-03T19:38:59Z</dcterms:modified>
</cp:coreProperties>
</file>